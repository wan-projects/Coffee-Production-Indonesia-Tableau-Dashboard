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wawn1\Downloads\Tableu\"/>
    </mc:Choice>
  </mc:AlternateContent>
  <xr:revisionPtr revIDLastSave="0" documentId="13_ncr:1_{9890EB58-3EB0-48A1-8857-F7D8510EC8F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rovinsi" sheetId="5" r:id="rId1"/>
    <sheet name="Pengaruh Luas Terhadap Produksi" sheetId="6" r:id="rId2"/>
    <sheet name="Produksi Kopi per Bulan" sheetId="7" r:id="rId3"/>
    <sheet name="Panen Raya disetiap Provinsi" sheetId="11" r:id="rId4"/>
  </sheets>
  <definedNames>
    <definedName name="_xlnm._FilterDatabase" localSheetId="3" hidden="1">'Panen Raya disetiap Provinsi'!$A$1:$B$128</definedName>
    <definedName name="_xlnm._FilterDatabase" localSheetId="1" hidden="1">'Pengaruh Luas Terhadap Produksi'!$A$1:$J$969</definedName>
    <definedName name="_xlnm._FilterDatabase" localSheetId="2" hidden="1">'Produksi Kopi per Bulan'!$A$1:$O$239</definedName>
  </definedNames>
  <calcPr calcId="191029"/>
</workbook>
</file>

<file path=xl/calcChain.xml><?xml version="1.0" encoding="utf-8"?>
<calcChain xmlns="http://schemas.openxmlformats.org/spreadsheetml/2006/main">
  <c r="O239" i="7" l="1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J239" i="6"/>
  <c r="I239" i="6"/>
  <c r="J238" i="6"/>
  <c r="I238" i="6"/>
  <c r="J237" i="6"/>
  <c r="I237" i="6"/>
  <c r="J236" i="6"/>
  <c r="I236" i="6"/>
  <c r="J235" i="6"/>
  <c r="I235" i="6"/>
  <c r="J234" i="6"/>
  <c r="I234" i="6"/>
  <c r="J233" i="6"/>
  <c r="I233" i="6"/>
  <c r="J232" i="6"/>
  <c r="I232" i="6"/>
  <c r="J231" i="6"/>
  <c r="I231" i="6"/>
  <c r="J230" i="6"/>
  <c r="I230" i="6"/>
  <c r="J229" i="6"/>
  <c r="I229" i="6"/>
  <c r="J228" i="6"/>
  <c r="I228" i="6"/>
  <c r="J227" i="6"/>
  <c r="I227" i="6"/>
  <c r="J226" i="6"/>
  <c r="I226" i="6"/>
  <c r="J225" i="6"/>
  <c r="I225" i="6"/>
  <c r="J224" i="6"/>
  <c r="I224" i="6"/>
  <c r="J223" i="6"/>
  <c r="I223" i="6"/>
  <c r="J222" i="6"/>
  <c r="I222" i="6"/>
  <c r="J221" i="6"/>
  <c r="I221" i="6"/>
  <c r="J220" i="6"/>
  <c r="I220" i="6"/>
  <c r="J219" i="6"/>
  <c r="I219" i="6"/>
  <c r="J218" i="6"/>
  <c r="I218" i="6"/>
  <c r="J217" i="6"/>
  <c r="I217" i="6"/>
  <c r="J216" i="6"/>
  <c r="I216" i="6"/>
  <c r="J215" i="6"/>
  <c r="I215" i="6"/>
  <c r="J214" i="6"/>
  <c r="I214" i="6"/>
  <c r="J213" i="6"/>
  <c r="I213" i="6"/>
  <c r="J212" i="6"/>
  <c r="I212" i="6"/>
  <c r="J211" i="6"/>
  <c r="I211" i="6"/>
  <c r="J210" i="6"/>
  <c r="I210" i="6"/>
  <c r="J209" i="6"/>
  <c r="I209" i="6"/>
  <c r="J208" i="6"/>
  <c r="I208" i="6"/>
  <c r="J207" i="6"/>
  <c r="I207" i="6"/>
  <c r="J206" i="6"/>
  <c r="I206" i="6"/>
  <c r="J205" i="6"/>
  <c r="I205" i="6"/>
  <c r="J204" i="6"/>
  <c r="I204" i="6"/>
  <c r="J203" i="6"/>
  <c r="I203" i="6"/>
  <c r="J202" i="6"/>
  <c r="I202" i="6"/>
  <c r="J201" i="6"/>
  <c r="I201" i="6"/>
  <c r="J200" i="6"/>
  <c r="I200" i="6"/>
  <c r="J199" i="6"/>
  <c r="I199" i="6"/>
  <c r="J198" i="6"/>
  <c r="I198" i="6"/>
  <c r="J197" i="6"/>
  <c r="I197" i="6"/>
  <c r="J196" i="6"/>
  <c r="I196" i="6"/>
  <c r="J195" i="6"/>
  <c r="I195" i="6"/>
  <c r="J194" i="6"/>
  <c r="I194" i="6"/>
  <c r="J193" i="6"/>
  <c r="I193" i="6"/>
  <c r="J192" i="6"/>
  <c r="I192" i="6"/>
  <c r="J191" i="6"/>
  <c r="I191" i="6"/>
  <c r="J190" i="6"/>
  <c r="I190" i="6"/>
  <c r="J189" i="6"/>
  <c r="I189" i="6"/>
  <c r="J188" i="6"/>
  <c r="I188" i="6"/>
  <c r="J187" i="6"/>
  <c r="I187" i="6"/>
  <c r="J186" i="6"/>
  <c r="I186" i="6"/>
  <c r="J185" i="6"/>
  <c r="I185" i="6"/>
  <c r="J184" i="6"/>
  <c r="I184" i="6"/>
  <c r="J183" i="6"/>
  <c r="I183" i="6"/>
  <c r="J182" i="6"/>
  <c r="I182" i="6"/>
  <c r="J181" i="6"/>
  <c r="I181" i="6"/>
  <c r="J180" i="6"/>
  <c r="I180" i="6"/>
  <c r="J179" i="6"/>
  <c r="I179" i="6"/>
  <c r="J178" i="6"/>
  <c r="I178" i="6"/>
  <c r="J177" i="6"/>
  <c r="I177" i="6"/>
  <c r="J176" i="6"/>
  <c r="I176" i="6"/>
  <c r="J175" i="6"/>
  <c r="I175" i="6"/>
  <c r="J174" i="6"/>
  <c r="I174" i="6"/>
  <c r="J173" i="6"/>
  <c r="I173" i="6"/>
  <c r="J172" i="6"/>
  <c r="I172" i="6"/>
  <c r="J171" i="6"/>
  <c r="I171" i="6"/>
  <c r="J170" i="6"/>
  <c r="I170" i="6"/>
  <c r="J169" i="6"/>
  <c r="I169" i="6"/>
  <c r="J168" i="6"/>
  <c r="I168" i="6"/>
  <c r="J167" i="6"/>
  <c r="I167" i="6"/>
  <c r="J166" i="6"/>
  <c r="I166" i="6"/>
  <c r="J165" i="6"/>
  <c r="I165" i="6"/>
  <c r="J164" i="6"/>
  <c r="I164" i="6"/>
  <c r="J163" i="6"/>
  <c r="I163" i="6"/>
  <c r="J162" i="6"/>
  <c r="I162" i="6"/>
  <c r="J161" i="6"/>
  <c r="I161" i="6"/>
  <c r="J160" i="6"/>
  <c r="I160" i="6"/>
  <c r="J159" i="6"/>
  <c r="I159" i="6"/>
  <c r="J158" i="6"/>
  <c r="I158" i="6"/>
  <c r="J157" i="6"/>
  <c r="I157" i="6"/>
  <c r="J156" i="6"/>
  <c r="I156" i="6"/>
  <c r="J155" i="6"/>
  <c r="I155" i="6"/>
  <c r="J154" i="6"/>
  <c r="I154" i="6"/>
  <c r="J153" i="6"/>
  <c r="I153" i="6"/>
  <c r="J152" i="6"/>
  <c r="I152" i="6"/>
  <c r="J151" i="6"/>
  <c r="I151" i="6"/>
  <c r="J150" i="6"/>
  <c r="I150" i="6"/>
  <c r="J149" i="6"/>
  <c r="I149" i="6"/>
  <c r="J148" i="6"/>
  <c r="I148" i="6"/>
  <c r="J147" i="6"/>
  <c r="I147" i="6"/>
  <c r="J146" i="6"/>
  <c r="I146" i="6"/>
  <c r="J145" i="6"/>
  <c r="I145" i="6"/>
  <c r="J144" i="6"/>
  <c r="I144" i="6"/>
  <c r="J143" i="6"/>
  <c r="I143" i="6"/>
  <c r="J142" i="6"/>
  <c r="I142" i="6"/>
  <c r="J141" i="6"/>
  <c r="I141" i="6"/>
  <c r="J140" i="6"/>
  <c r="I140" i="6"/>
  <c r="J139" i="6"/>
  <c r="I139" i="6"/>
  <c r="J138" i="6"/>
  <c r="I138" i="6"/>
  <c r="J137" i="6"/>
  <c r="I137" i="6"/>
  <c r="J136" i="6"/>
  <c r="I136" i="6"/>
  <c r="J135" i="6"/>
  <c r="I135" i="6"/>
  <c r="J134" i="6"/>
  <c r="I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</calcChain>
</file>

<file path=xl/sharedStrings.xml><?xml version="1.0" encoding="utf-8"?>
<sst xmlns="http://schemas.openxmlformats.org/spreadsheetml/2006/main" count="995" uniqueCount="60">
  <si>
    <t>Provinsi</t>
  </si>
  <si>
    <t>Tahun</t>
  </si>
  <si>
    <t>Aceh</t>
  </si>
  <si>
    <t>Sumatera Utara</t>
  </si>
  <si>
    <t>Sumatera Barat</t>
  </si>
  <si>
    <t>Riau</t>
  </si>
  <si>
    <t>Kepulauan Riau</t>
  </si>
  <si>
    <t>Jambi</t>
  </si>
  <si>
    <t>Sumatera Selatan</t>
  </si>
  <si>
    <t>Bengkulu</t>
  </si>
  <si>
    <t>Lampung</t>
  </si>
  <si>
    <t>DKI Jakarta</t>
  </si>
  <si>
    <t>Jawa Barat</t>
  </si>
  <si>
    <t>Banten</t>
  </si>
  <si>
    <t>Jawa Tengah</t>
  </si>
  <si>
    <t>Jawa Timur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</si>
  <si>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</si>
  <si>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</si>
  <si>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</si>
  <si>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</si>
  <si>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</si>
  <si>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</si>
  <si>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</si>
  <si>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</si>
  <si>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</si>
  <si>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Gorontalo</t>
  </si>
  <si>
    <t>Sulawesi Tengah</t>
  </si>
  <si>
    <t>Sulawesi Selatan</t>
  </si>
  <si>
    <t>Sulawesi Barat</t>
  </si>
  <si>
    <t>Sulawesi Tenggara</t>
  </si>
  <si>
    <t>Maluku</t>
  </si>
  <si>
    <t>Maluku Utara</t>
  </si>
  <si>
    <t>Papua</t>
  </si>
  <si>
    <t>Papua Barat</t>
  </si>
  <si>
    <t>Luas (Ha) Perkebunan Besar Negara</t>
  </si>
  <si>
    <t>Produksi (Ton) Perkebunan Besar Negara</t>
  </si>
  <si>
    <t xml:space="preserve">Luas (Ha) Perkebunan Besar Swasta        </t>
  </si>
  <si>
    <t xml:space="preserve">Produksi (Ton) Perkebunan Besar Swasta        </t>
  </si>
  <si>
    <t>Luas (Ha) Perkebunan Rakyat</t>
  </si>
  <si>
    <t>Produksi (Ton) Perkebunan Rakyat</t>
  </si>
  <si>
    <t>Total Luas (Ha)</t>
  </si>
  <si>
    <t>Total Produksi (Ton)</t>
  </si>
  <si>
    <t>Bangka Belitung</t>
  </si>
  <si>
    <t>D I Yogyakarta</t>
  </si>
  <si>
    <t>D.I. Yogyakarta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</si>
  <si>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</si>
  <si>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</si>
  <si>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</si>
  <si>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</si>
  <si>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</si>
  <si>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</si>
  <si>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</si>
  <si>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</si>
  <si>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</si>
  <si>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</si>
  <si>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</si>
  <si>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</si>
  <si>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 Total</t>
  </si>
  <si>
    <t xml:space="preserve">Mei </t>
  </si>
  <si>
    <t>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</si>
</sst>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rgb="FF000000"/>
      <name val="Times New Roman"/>
    </font>
    <font>
      <b/>
      <sz val="11"/>
      <color theme="1"/>
      <name val="Times New Roman"/>
    </font>
    <font>
      <b/>
      <sz val="11"/>
      <color rgb="FF231F20"/>
      <name val="Times New Roman"/>
    </font>
    <font>
      <sz val="11"/>
      <color theme="1"/>
      <name val="Times New Roman"/>
    </font>
    <font>
      <sz val="10"/>
      <color rgb="FF231F20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231F20"/>
      <name val="Times New Roman"/>
    </font>
    <font>
      <sz val="10"/>
      <color rgb="FF231F20"/>
      <name val="Times New Roman"/>
    </font>
    <font>
      <sz val="10"/>
      <color theme="1"/>
      <name val="Times New Roman"/>
    </font>
    <font>
      <b/>
      <sz val="12"/>
      <color rgb="FF000000"/>
      <name val="Times New Roman"/>
    </font>
    <font>
      <b/>
      <sz val="12"/>
      <color theme="1"/>
      <name val="Times New Roman"/>
    </font>
    <font>
      <b/>
      <sz val="12"/>
      <color rgb="FF231F20"/>
      <name val="Times New Roman"/>
    </font>
    <font>
      <sz val="12"/>
      <color theme="1"/>
      <name val="Times New Roman"/>
    </font>
    <font>
      <sz val="12"/>
      <color rgb="FF231F20"/>
      <name val="Times New Roman"/>
    </font>
    <font>
      <sz val="12"/>
      <color rgb="FF000000"/>
      <name val="Times New Roman"/>
    </font>
    <font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 vertical="top"/>
    </xf>
    <xf numFmtId="0" fontId="7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right" vertical="top"/>
    </xf>
    <xf numFmtId="0" fontId="9" fillId="2" borderId="0" xfId="0" applyFont="1" applyFill="1" applyAlignment="1">
      <alignment horizontal="right" vertical="top"/>
    </xf>
    <xf numFmtId="0" fontId="8" fillId="2" borderId="0" xfId="0" applyFont="1" applyFill="1" applyAlignment="1">
      <alignment horizontal="right"/>
    </xf>
    <xf numFmtId="0" fontId="7" fillId="2" borderId="0" xfId="0" applyFont="1" applyFill="1" applyAlignment="1">
      <alignment horizontal="right" vertical="top"/>
    </xf>
    <xf numFmtId="0" fontId="8" fillId="2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8" fillId="3" borderId="0" xfId="0" applyFont="1" applyFill="1" applyAlignment="1">
      <alignment horizontal="center"/>
    </xf>
    <xf numFmtId="0" fontId="7" fillId="3" borderId="0" xfId="0" applyFont="1" applyFill="1" applyAlignment="1">
      <alignment horizontal="right" vertical="top"/>
    </xf>
    <xf numFmtId="0" fontId="9" fillId="3" borderId="0" xfId="0" applyFont="1" applyFill="1" applyAlignment="1">
      <alignment horizontal="right" vertical="top"/>
    </xf>
    <xf numFmtId="0" fontId="8" fillId="3" borderId="0" xfId="0" applyFont="1" applyFill="1"/>
    <xf numFmtId="0" fontId="4" fillId="0" borderId="0" xfId="0" applyFont="1" applyAlignment="1">
      <alignment horizont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center"/>
    </xf>
    <xf numFmtId="0" fontId="11" fillId="2" borderId="0" xfId="0" applyFont="1" applyFill="1" applyAlignment="1">
      <alignment vertical="top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vertical="top"/>
    </xf>
    <xf numFmtId="0" fontId="12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/>
    <xf numFmtId="0" fontId="2" fillId="3" borderId="0" xfId="0" applyFont="1" applyFill="1" applyAlignment="1">
      <alignment vertical="top"/>
    </xf>
    <xf numFmtId="0" fontId="2" fillId="3" borderId="0" xfId="0" applyFont="1" applyFill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top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/>
    </xf>
    <xf numFmtId="3" fontId="17" fillId="0" borderId="0" xfId="0" applyNumberFormat="1" applyFont="1" applyAlignment="1">
      <alignment horizontal="right" vertical="top"/>
    </xf>
    <xf numFmtId="3" fontId="18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left" vertical="top"/>
    </xf>
    <xf numFmtId="0" fontId="19" fillId="0" borderId="0" xfId="0" applyFont="1"/>
    <xf numFmtId="0" fontId="1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'Produksi Kopi per Bulan'!$O$1</c:f>
              <c:strCache>
                <c:ptCount val="1"/>
                <c:pt idx="0">
                  <c:v>Jumlah Total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'Produksi Kopi per Bulan'!$A$2:$A$985</c:f>
              <c:strCache>
                <c:ptCount val="238"/>
                <c:pt idx="0">
                  <c:v>Aceh</c:v>
                </c:pt>
                <c:pt idx="1">
                  <c:v>Bali</c:v>
                </c:pt>
                <c:pt idx="2">
                  <c:v>Bangka Belitung</c:v>
                </c:pt>
                <c:pt idx="3">
                  <c:v>Banten</c:v>
                </c:pt>
                <c:pt idx="4">
                  <c:v>Bengkulu</c:v>
                </c:pt>
                <c:pt idx="5">
                  <c:v>D I Yogyakarta</c:v>
                </c:pt>
                <c:pt idx="6">
                  <c:v>DKI Jakarta</c:v>
                </c:pt>
                <c:pt idx="7">
                  <c:v>Gorontalo</c:v>
                </c:pt>
                <c:pt idx="8">
                  <c:v>Jambi</c:v>
                </c:pt>
                <c:pt idx="9">
                  <c:v>Jawa Barat</c:v>
                </c:pt>
                <c:pt idx="10">
                  <c:v>Jawa Tengah</c:v>
                </c:pt>
                <c:pt idx="11">
                  <c:v>Jawa Timur</c:v>
                </c:pt>
                <c:pt idx="12">
                  <c:v>Kalimantan Barat</c:v>
                </c:pt>
                <c:pt idx="13">
                  <c:v>Kalimantan Selatan</c:v>
                </c:pt>
                <c:pt idx="14">
                  <c:v>Kalimantan Tengah</c:v>
                </c:pt>
                <c:pt idx="15">
                  <c:v>Kalimantan Timur</c:v>
                </c:pt>
                <c:pt idx="16">
                  <c:v>Kalimantan Utara</c:v>
                </c:pt>
                <c:pt idx="17">
                  <c:v>Kepulauan Riau</c:v>
                </c:pt>
                <c:pt idx="18">
                  <c:v>Lampung</c:v>
                </c:pt>
                <c:pt idx="19">
                  <c:v>Maluku</c:v>
                </c:pt>
                <c:pt idx="20">
                  <c:v>Maluku Utara</c:v>
                </c:pt>
                <c:pt idx="21">
                  <c:v>Nusa Tenggara Barat</c:v>
                </c:pt>
                <c:pt idx="22">
                  <c:v>Nusa Tenggara Timur</c:v>
                </c:pt>
                <c:pt idx="23">
                  <c:v>Papua</c:v>
                </c:pt>
                <c:pt idx="24">
                  <c:v>Papua Barat</c:v>
                </c:pt>
                <c:pt idx="25">
                  <c:v>Riau</c:v>
                </c:pt>
                <c:pt idx="26">
                  <c:v>Sulawesi Barat</c:v>
                </c:pt>
                <c:pt idx="27">
                  <c:v>Sulawesi Selatan</c:v>
                </c:pt>
                <c:pt idx="28">
                  <c:v>Sulawesi Tengah</c:v>
                </c:pt>
                <c:pt idx="29">
                  <c:v>Sulawesi Tenggara</c:v>
                </c:pt>
                <c:pt idx="30">
                  <c:v>Sulawesi Utara</c:v>
                </c:pt>
                <c:pt idx="31">
                  <c:v>Sumatera Barat</c:v>
                </c:pt>
                <c:pt idx="32">
                  <c:v>Sumatera Selatan</c:v>
                </c:pt>
                <c:pt idx="33">
                  <c:v>Sumatera Utara</c:v>
                </c:pt>
                <c:pt idx="34">
                  <c:v>Aceh</c:v>
                </c:pt>
                <c:pt idx="35">
                  <c:v>Bali</c:v>
                </c:pt>
                <c:pt idx="36">
                  <c:v>Bangka Belitung</c:v>
                </c:pt>
                <c:pt idx="37">
                  <c:v>Banten</c:v>
                </c:pt>
                <c:pt idx="38">
                  <c:v>Bengkulu</c:v>
                </c:pt>
                <c:pt idx="39">
                  <c:v>D I Yogyakarta</c:v>
                </c:pt>
                <c:pt idx="40">
                  <c:v>DKI Jakarta</c:v>
                </c:pt>
                <c:pt idx="41">
                  <c:v>Gorontalo</c:v>
                </c:pt>
                <c:pt idx="42">
                  <c:v>Jambi</c:v>
                </c:pt>
                <c:pt idx="43">
                  <c:v>Jawa Barat</c:v>
                </c:pt>
                <c:pt idx="44">
                  <c:v>Jawa Tengah</c:v>
                </c:pt>
                <c:pt idx="45">
                  <c:v>Jawa Timur</c:v>
                </c:pt>
                <c:pt idx="46">
                  <c:v>Kalimantan Barat</c:v>
                </c:pt>
                <c:pt idx="47">
                  <c:v>Kalimantan Selatan</c:v>
                </c:pt>
                <c:pt idx="48">
                  <c:v>Kalimantan Tengah</c:v>
                </c:pt>
                <c:pt idx="49">
                  <c:v>Kalimantan Timur</c:v>
                </c:pt>
                <c:pt idx="50">
                  <c:v>Kalimantan Utara</c:v>
                </c:pt>
                <c:pt idx="51">
                  <c:v>Kepulauan Riau</c:v>
                </c:pt>
                <c:pt idx="52">
                  <c:v>Lampung</c:v>
                </c:pt>
                <c:pt idx="53">
                  <c:v>Maluku</c:v>
                </c:pt>
                <c:pt idx="54">
                  <c:v>Maluku Utara</c:v>
                </c:pt>
                <c:pt idx="55">
                  <c:v>Nusa Tenggara Barat</c:v>
                </c:pt>
                <c:pt idx="56">
                  <c:v>Nusa Tenggara Timur</c:v>
                </c:pt>
                <c:pt idx="57">
                  <c:v>Papua</c:v>
                </c:pt>
                <c:pt idx="58">
                  <c:v>Papua Barat</c:v>
                </c:pt>
                <c:pt idx="59">
                  <c:v>Riau</c:v>
                </c:pt>
                <c:pt idx="60">
                  <c:v>Sulawesi Barat</c:v>
                </c:pt>
                <c:pt idx="61">
                  <c:v>Sulawesi Selatan</c:v>
                </c:pt>
                <c:pt idx="62">
                  <c:v>Sulawesi Tengah</c:v>
                </c:pt>
                <c:pt idx="63">
                  <c:v>Sulawesi Tenggara</c:v>
                </c:pt>
                <c:pt idx="64">
                  <c:v>Sulawesi Utara</c:v>
                </c:pt>
                <c:pt idx="65">
                  <c:v>Sumatera Barat</c:v>
                </c:pt>
                <c:pt idx="66">
                  <c:v>Sumatera Selatan</c:v>
                </c:pt>
                <c:pt idx="67">
                  <c:v>Sumatera Utara</c:v>
                </c:pt>
                <c:pt idx="68">
                  <c:v>Aceh</c:v>
                </c:pt>
                <c:pt idx="69">
                  <c:v>Bali</c:v>
                </c:pt>
                <c:pt idx="70">
                  <c:v>Bangka Belitung</c:v>
                </c:pt>
                <c:pt idx="71">
                  <c:v>Banten</c:v>
                </c:pt>
                <c:pt idx="72">
                  <c:v>Bengkulu</c:v>
                </c:pt>
                <c:pt idx="73">
                  <c:v>D I Yogyakarta</c:v>
                </c:pt>
                <c:pt idx="74">
                  <c:v>DKI Jakarta</c:v>
                </c:pt>
                <c:pt idx="75">
                  <c:v>Gorontalo</c:v>
                </c:pt>
                <c:pt idx="76">
                  <c:v>Jambi</c:v>
                </c:pt>
                <c:pt idx="77">
                  <c:v>Jawa Barat</c:v>
                </c:pt>
                <c:pt idx="78">
                  <c:v>Jawa Tengah</c:v>
                </c:pt>
                <c:pt idx="79">
                  <c:v>Jawa Timur</c:v>
                </c:pt>
                <c:pt idx="80">
                  <c:v>Kalimantan Barat</c:v>
                </c:pt>
                <c:pt idx="81">
                  <c:v>Kalimantan Selatan</c:v>
                </c:pt>
                <c:pt idx="82">
                  <c:v>Kalimantan Tengah</c:v>
                </c:pt>
                <c:pt idx="83">
                  <c:v>Kalimantan Timur</c:v>
                </c:pt>
                <c:pt idx="84">
                  <c:v>Kalimantan Utara</c:v>
                </c:pt>
                <c:pt idx="85">
                  <c:v>Kepulauan Riau</c:v>
                </c:pt>
                <c:pt idx="86">
                  <c:v>Lampung</c:v>
                </c:pt>
                <c:pt idx="87">
                  <c:v>Maluku</c:v>
                </c:pt>
                <c:pt idx="88">
                  <c:v>Maluku Utara</c:v>
                </c:pt>
                <c:pt idx="89">
                  <c:v>Nusa Tenggara Barat</c:v>
                </c:pt>
                <c:pt idx="90">
                  <c:v>Nusa Tenggara Timur</c:v>
                </c:pt>
                <c:pt idx="91">
                  <c:v>Papua</c:v>
                </c:pt>
                <c:pt idx="92">
                  <c:v>Papua Barat</c:v>
                </c:pt>
                <c:pt idx="93">
                  <c:v>Riau</c:v>
                </c:pt>
                <c:pt idx="94">
                  <c:v>Sulawesi Barat</c:v>
                </c:pt>
                <c:pt idx="95">
                  <c:v>Sulawesi Selatan</c:v>
                </c:pt>
                <c:pt idx="96">
                  <c:v>Sulawesi Tengah</c:v>
                </c:pt>
                <c:pt idx="97">
                  <c:v>Sulawesi Tenggara</c:v>
                </c:pt>
                <c:pt idx="98">
                  <c:v>Sulawesi Utara</c:v>
                </c:pt>
                <c:pt idx="99">
                  <c:v>Sumatera Barat</c:v>
                </c:pt>
                <c:pt idx="100">
                  <c:v>Sumatera Selatan</c:v>
                </c:pt>
                <c:pt idx="101">
                  <c:v>Sumatera Utara</c:v>
                </c:pt>
                <c:pt idx="102">
                  <c:v>Aceh</c:v>
                </c:pt>
                <c:pt idx="103">
                  <c:v>Bali</c:v>
                </c:pt>
                <c:pt idx="104">
                  <c:v>Bangka Belitung</c:v>
                </c:pt>
                <c:pt idx="105">
                  <c:v>Banten</c:v>
                </c:pt>
                <c:pt idx="106">
                  <c:v>Bengkulu</c:v>
                </c:pt>
                <c:pt idx="107">
                  <c:v>D I Yogyakarta</c:v>
                </c:pt>
                <c:pt idx="108">
                  <c:v>DKI Jakarta</c:v>
                </c:pt>
                <c:pt idx="109">
                  <c:v>Gorontalo</c:v>
                </c:pt>
                <c:pt idx="110">
                  <c:v>Jambi</c:v>
                </c:pt>
                <c:pt idx="111">
                  <c:v>Jawa Barat</c:v>
                </c:pt>
                <c:pt idx="112">
                  <c:v>Jawa Tengah</c:v>
                </c:pt>
                <c:pt idx="113">
                  <c:v>Jawa Timur</c:v>
                </c:pt>
                <c:pt idx="114">
                  <c:v>Kalimantan Barat</c:v>
                </c:pt>
                <c:pt idx="115">
                  <c:v>Kalimantan Selatan</c:v>
                </c:pt>
                <c:pt idx="116">
                  <c:v>Kalimantan Tengah</c:v>
                </c:pt>
                <c:pt idx="117">
                  <c:v>Kalimantan Timur</c:v>
                </c:pt>
                <c:pt idx="118">
                  <c:v>Kalimantan Utara</c:v>
                </c:pt>
                <c:pt idx="119">
                  <c:v>Kepulauan Riau</c:v>
                </c:pt>
                <c:pt idx="120">
                  <c:v>Lampung</c:v>
                </c:pt>
                <c:pt idx="121">
                  <c:v>Maluku</c:v>
                </c:pt>
                <c:pt idx="122">
                  <c:v>Maluku Utara</c:v>
                </c:pt>
                <c:pt idx="123">
                  <c:v>Nusa Tenggara Barat</c:v>
                </c:pt>
                <c:pt idx="124">
                  <c:v>Nusa Tenggara Timur</c:v>
                </c:pt>
                <c:pt idx="125">
                  <c:v>Papua</c:v>
                </c:pt>
                <c:pt idx="126">
                  <c:v>Papua Barat</c:v>
                </c:pt>
                <c:pt idx="127">
                  <c:v>Riau</c:v>
                </c:pt>
                <c:pt idx="128">
                  <c:v>Sulawesi Barat</c:v>
                </c:pt>
                <c:pt idx="129">
                  <c:v>Sulawesi Selatan</c:v>
                </c:pt>
                <c:pt idx="130">
                  <c:v>Sulawesi Tengah</c:v>
                </c:pt>
                <c:pt idx="131">
                  <c:v>Sulawesi Tenggara</c:v>
                </c:pt>
                <c:pt idx="132">
                  <c:v>Sulawesi Utara</c:v>
                </c:pt>
                <c:pt idx="133">
                  <c:v>Sumatera Barat</c:v>
                </c:pt>
                <c:pt idx="134">
                  <c:v>Sumatera Selatan</c:v>
                </c:pt>
                <c:pt idx="135">
                  <c:v>Sumatera Utara</c:v>
                </c:pt>
                <c:pt idx="136">
                  <c:v>Aceh</c:v>
                </c:pt>
                <c:pt idx="137">
                  <c:v>Bali</c:v>
                </c:pt>
                <c:pt idx="138">
                  <c:v>Bangka Belitung</c:v>
                </c:pt>
                <c:pt idx="139">
                  <c:v>Banten</c:v>
                </c:pt>
                <c:pt idx="140">
                  <c:v>Bengkulu</c:v>
                </c:pt>
                <c:pt idx="141">
                  <c:v>D I Yogyakarta</c:v>
                </c:pt>
                <c:pt idx="142">
                  <c:v>DKI Jakarta</c:v>
                </c:pt>
                <c:pt idx="143">
                  <c:v>Gorontalo</c:v>
                </c:pt>
                <c:pt idx="144">
                  <c:v>Jambi</c:v>
                </c:pt>
                <c:pt idx="145">
                  <c:v>Jawa Barat</c:v>
                </c:pt>
                <c:pt idx="146">
                  <c:v>Jawa Tengah</c:v>
                </c:pt>
                <c:pt idx="147">
                  <c:v>Jawa Timur</c:v>
                </c:pt>
                <c:pt idx="148">
                  <c:v>Kalimantan Barat</c:v>
                </c:pt>
                <c:pt idx="149">
                  <c:v>Kalimantan Selatan</c:v>
                </c:pt>
                <c:pt idx="150">
                  <c:v>Kalimantan Tengah</c:v>
                </c:pt>
                <c:pt idx="151">
                  <c:v>Kalimantan Timur</c:v>
                </c:pt>
                <c:pt idx="152">
                  <c:v>Kalimantan Utara</c:v>
                </c:pt>
                <c:pt idx="153">
                  <c:v>Kepulauan Riau</c:v>
                </c:pt>
                <c:pt idx="154">
                  <c:v>Lampung</c:v>
                </c:pt>
                <c:pt idx="155">
                  <c:v>Maluku</c:v>
                </c:pt>
                <c:pt idx="156">
                  <c:v>Maluku Utara</c:v>
                </c:pt>
                <c:pt idx="157">
                  <c:v>Nusa Tenggara Barat</c:v>
                </c:pt>
                <c:pt idx="158">
                  <c:v>Nusa Tenggara Timur</c:v>
                </c:pt>
                <c:pt idx="159">
                  <c:v>Papua</c:v>
                </c:pt>
                <c:pt idx="160">
                  <c:v>Papua Barat</c:v>
                </c:pt>
                <c:pt idx="161">
                  <c:v>Riau</c:v>
                </c:pt>
                <c:pt idx="162">
                  <c:v>Sulawesi Barat</c:v>
                </c:pt>
                <c:pt idx="163">
                  <c:v>Sulawesi Selatan</c:v>
                </c:pt>
                <c:pt idx="164">
                  <c:v>Sulawesi Tengah</c:v>
                </c:pt>
                <c:pt idx="165">
                  <c:v>Sulawesi Tenggara</c:v>
                </c:pt>
                <c:pt idx="166">
                  <c:v>Sulawesi Utara</c:v>
                </c:pt>
                <c:pt idx="167">
                  <c:v>Sumatera Barat</c:v>
                </c:pt>
                <c:pt idx="168">
                  <c:v>Sumatera Selatan</c:v>
                </c:pt>
                <c:pt idx="169">
                  <c:v>Sumatera Utara</c:v>
                </c:pt>
                <c:pt idx="170">
                  <c:v>Aceh</c:v>
                </c:pt>
                <c:pt idx="171">
                  <c:v>Bali</c:v>
                </c:pt>
                <c:pt idx="172">
                  <c:v>Bangka Belitung</c:v>
                </c:pt>
                <c:pt idx="173">
                  <c:v>Banten</c:v>
                </c:pt>
                <c:pt idx="174">
                  <c:v>Bengkulu</c:v>
                </c:pt>
                <c:pt idx="175">
                  <c:v>D.I. Yogyakarta</c:v>
                </c:pt>
                <c:pt idx="176">
                  <c:v>DKI Jakarta</c:v>
                </c:pt>
                <c:pt idx="177">
                  <c:v>Gorontalo</c:v>
                </c:pt>
                <c:pt idx="178">
                  <c:v>Jambi</c:v>
                </c:pt>
                <c:pt idx="179">
                  <c:v>Jawa Barat</c:v>
                </c:pt>
                <c:pt idx="180">
                  <c:v>Jawa Tengah</c:v>
                </c:pt>
                <c:pt idx="181">
                  <c:v>Jawa Timur</c:v>
                </c:pt>
                <c:pt idx="182">
                  <c:v>Kalimantan Barat</c:v>
                </c:pt>
                <c:pt idx="183">
                  <c:v>Kalimantan Selatan</c:v>
                </c:pt>
                <c:pt idx="184">
                  <c:v>Kalimantan Tengah</c:v>
                </c:pt>
                <c:pt idx="185">
                  <c:v>Kalimantan Timur</c:v>
                </c:pt>
                <c:pt idx="186">
                  <c:v>Kalimantan Utara</c:v>
                </c:pt>
                <c:pt idx="187">
                  <c:v>Kepulauan Riau</c:v>
                </c:pt>
                <c:pt idx="188">
                  <c:v>Lampung</c:v>
                </c:pt>
                <c:pt idx="189">
                  <c:v>Maluku</c:v>
                </c:pt>
                <c:pt idx="190">
                  <c:v>Maluku Utara</c:v>
                </c:pt>
                <c:pt idx="191">
                  <c:v>Nusa Tenggara Barat</c:v>
                </c:pt>
                <c:pt idx="192">
                  <c:v>Nusa Tenggara Timur</c:v>
                </c:pt>
                <c:pt idx="193">
                  <c:v>Papua</c:v>
                </c:pt>
                <c:pt idx="194">
                  <c:v>Papua Barat</c:v>
                </c:pt>
                <c:pt idx="195">
                  <c:v>Riau</c:v>
                </c:pt>
                <c:pt idx="196">
                  <c:v>Sulawesi Barat</c:v>
                </c:pt>
                <c:pt idx="197">
                  <c:v>Sulawesi Selatan</c:v>
                </c:pt>
                <c:pt idx="198">
                  <c:v>Sulawesi Tengah</c:v>
                </c:pt>
                <c:pt idx="199">
                  <c:v>Sulawesi Tenggara</c:v>
                </c:pt>
                <c:pt idx="200">
                  <c:v>Sulawesi Utara</c:v>
                </c:pt>
                <c:pt idx="201">
                  <c:v>Sumatera Barat</c:v>
                </c:pt>
                <c:pt idx="202">
                  <c:v>Sumatera Selatan</c:v>
                </c:pt>
                <c:pt idx="203">
                  <c:v>Sumatera Utara</c:v>
                </c:pt>
                <c:pt idx="204">
                  <c:v>Aceh</c:v>
                </c:pt>
                <c:pt idx="205">
                  <c:v>Bali</c:v>
                </c:pt>
                <c:pt idx="206">
                  <c:v>Bangka Belitung</c:v>
                </c:pt>
                <c:pt idx="207">
                  <c:v>Banten</c:v>
                </c:pt>
                <c:pt idx="208">
                  <c:v>Bengkulu</c:v>
                </c:pt>
                <c:pt idx="209">
                  <c:v>D.I. Yogyakarta</c:v>
                </c:pt>
                <c:pt idx="210">
                  <c:v>DKI Jakarta</c:v>
                </c:pt>
                <c:pt idx="211">
                  <c:v>Gorontalo</c:v>
                </c:pt>
                <c:pt idx="212">
                  <c:v>Jambi</c:v>
                </c:pt>
                <c:pt idx="213">
                  <c:v>Jawa Barat</c:v>
                </c:pt>
                <c:pt idx="214">
                  <c:v>Jawa Tengah</c:v>
                </c:pt>
                <c:pt idx="215">
                  <c:v>Jawa Timur</c:v>
                </c:pt>
                <c:pt idx="216">
                  <c:v>Kalimantan Barat</c:v>
                </c:pt>
                <c:pt idx="217">
                  <c:v>Kalimantan Selatan</c:v>
                </c:pt>
                <c:pt idx="218">
                  <c:v>Kalimantan Tengah</c:v>
                </c:pt>
                <c:pt idx="219">
                  <c:v>Kalimantan Timur</c:v>
                </c:pt>
                <c:pt idx="220">
                  <c:v>Kalimantan Utara</c:v>
                </c:pt>
                <c:pt idx="221">
                  <c:v>Kepulauan Riau</c:v>
                </c:pt>
                <c:pt idx="222">
                  <c:v>Lampung</c:v>
                </c:pt>
                <c:pt idx="223">
                  <c:v>Maluku</c:v>
                </c:pt>
                <c:pt idx="224">
                  <c:v>Maluku Utara</c:v>
                </c:pt>
                <c:pt idx="225">
                  <c:v>Nusa Tenggara Barat</c:v>
                </c:pt>
                <c:pt idx="226">
                  <c:v>Nusa Tenggara Timur</c:v>
                </c:pt>
                <c:pt idx="227">
                  <c:v>Papua</c:v>
                </c:pt>
                <c:pt idx="228">
                  <c:v>Papua Barat</c:v>
                </c:pt>
                <c:pt idx="229">
                  <c:v>Riau</c:v>
                </c:pt>
                <c:pt idx="230">
                  <c:v>Sulawesi Barat</c:v>
                </c:pt>
                <c:pt idx="231">
                  <c:v>Sulawesi Selatan</c:v>
                </c:pt>
                <c:pt idx="232">
                  <c:v>Sulawesi Tengah</c:v>
                </c:pt>
                <c:pt idx="233">
                  <c:v>Sulawesi Tenggara</c:v>
                </c:pt>
                <c:pt idx="234">
                  <c:v>Sulawesi Utara</c:v>
                </c:pt>
                <c:pt idx="235">
                  <c:v>Sumatera Barat</c:v>
                </c:pt>
                <c:pt idx="236">
                  <c:v>Sumatera Selatan</c:v>
                </c:pt>
                <c:pt idx="237">
                  <c:v>Sumatera Utara</c:v>
                </c:pt>
              </c:strCache>
            </c:strRef>
          </c:cat>
          <c:val>
            <c:numRef>
              <c:f>'Produksi Kopi per Bulan'!$O$2:$O$985</c:f>
              <c:numCache>
                <c:formatCode>General</c:formatCode>
                <c:ptCount val="984"/>
                <c:pt idx="0">
                  <c:v>70352</c:v>
                </c:pt>
                <c:pt idx="1">
                  <c:v>15142</c:v>
                </c:pt>
                <c:pt idx="2">
                  <c:v>59</c:v>
                </c:pt>
                <c:pt idx="3">
                  <c:v>2060</c:v>
                </c:pt>
                <c:pt idx="4">
                  <c:v>59854</c:v>
                </c:pt>
                <c:pt idx="5">
                  <c:v>534</c:v>
                </c:pt>
                <c:pt idx="6">
                  <c:v>0</c:v>
                </c:pt>
                <c:pt idx="7">
                  <c:v>127</c:v>
                </c:pt>
                <c:pt idx="8">
                  <c:v>18995</c:v>
                </c:pt>
                <c:pt idx="9">
                  <c:v>23619</c:v>
                </c:pt>
                <c:pt idx="10">
                  <c:v>25972</c:v>
                </c:pt>
                <c:pt idx="11">
                  <c:v>47996</c:v>
                </c:pt>
                <c:pt idx="12">
                  <c:v>3154</c:v>
                </c:pt>
                <c:pt idx="13">
                  <c:v>764</c:v>
                </c:pt>
                <c:pt idx="14">
                  <c:v>236</c:v>
                </c:pt>
                <c:pt idx="15">
                  <c:v>163</c:v>
                </c:pt>
                <c:pt idx="16">
                  <c:v>195</c:v>
                </c:pt>
                <c:pt idx="17">
                  <c:v>0</c:v>
                </c:pt>
                <c:pt idx="18">
                  <c:v>113739</c:v>
                </c:pt>
                <c:pt idx="19">
                  <c:v>426</c:v>
                </c:pt>
                <c:pt idx="20">
                  <c:v>13</c:v>
                </c:pt>
                <c:pt idx="21">
                  <c:v>6385</c:v>
                </c:pt>
                <c:pt idx="22">
                  <c:v>25638</c:v>
                </c:pt>
                <c:pt idx="23">
                  <c:v>3156</c:v>
                </c:pt>
                <c:pt idx="24">
                  <c:v>8</c:v>
                </c:pt>
                <c:pt idx="25">
                  <c:v>1865</c:v>
                </c:pt>
                <c:pt idx="26">
                  <c:v>4795</c:v>
                </c:pt>
                <c:pt idx="27">
                  <c:v>30149</c:v>
                </c:pt>
                <c:pt idx="28">
                  <c:v>3418</c:v>
                </c:pt>
                <c:pt idx="29">
                  <c:v>2732</c:v>
                </c:pt>
                <c:pt idx="30">
                  <c:v>3632</c:v>
                </c:pt>
                <c:pt idx="31">
                  <c:v>15266</c:v>
                </c:pt>
                <c:pt idx="32">
                  <c:v>208042</c:v>
                </c:pt>
                <c:pt idx="33">
                  <c:v>86476</c:v>
                </c:pt>
                <c:pt idx="34">
                  <c:v>74329</c:v>
                </c:pt>
                <c:pt idx="35">
                  <c:v>15578</c:v>
                </c:pt>
                <c:pt idx="36">
                  <c:v>38</c:v>
                </c:pt>
                <c:pt idx="37">
                  <c:v>2001</c:v>
                </c:pt>
                <c:pt idx="38">
                  <c:v>62850</c:v>
                </c:pt>
                <c:pt idx="39">
                  <c:v>524</c:v>
                </c:pt>
                <c:pt idx="40">
                  <c:v>0</c:v>
                </c:pt>
                <c:pt idx="41">
                  <c:v>130</c:v>
                </c:pt>
                <c:pt idx="42">
                  <c:v>19222</c:v>
                </c:pt>
                <c:pt idx="43">
                  <c:v>24334</c:v>
                </c:pt>
                <c:pt idx="44">
                  <c:v>27232</c:v>
                </c:pt>
                <c:pt idx="45">
                  <c:v>45914</c:v>
                </c:pt>
                <c:pt idx="46">
                  <c:v>3139</c:v>
                </c:pt>
                <c:pt idx="47">
                  <c:v>1021</c:v>
                </c:pt>
                <c:pt idx="48">
                  <c:v>368</c:v>
                </c:pt>
                <c:pt idx="49">
                  <c:v>171</c:v>
                </c:pt>
                <c:pt idx="50">
                  <c:v>117</c:v>
                </c:pt>
                <c:pt idx="51">
                  <c:v>0</c:v>
                </c:pt>
                <c:pt idx="52" formatCode="#,##0">
                  <c:v>116279</c:v>
                </c:pt>
                <c:pt idx="53">
                  <c:v>417</c:v>
                </c:pt>
                <c:pt idx="54">
                  <c:v>14</c:v>
                </c:pt>
                <c:pt idx="55">
                  <c:v>6326</c:v>
                </c:pt>
                <c:pt idx="56">
                  <c:v>25871</c:v>
                </c:pt>
                <c:pt idx="57">
                  <c:v>2800</c:v>
                </c:pt>
                <c:pt idx="58">
                  <c:v>71</c:v>
                </c:pt>
                <c:pt idx="59">
                  <c:v>2417</c:v>
                </c:pt>
                <c:pt idx="60">
                  <c:v>4673</c:v>
                </c:pt>
                <c:pt idx="61">
                  <c:v>34243</c:v>
                </c:pt>
                <c:pt idx="62">
                  <c:v>2992</c:v>
                </c:pt>
                <c:pt idx="63">
                  <c:v>2776</c:v>
                </c:pt>
                <c:pt idx="64">
                  <c:v>3731</c:v>
                </c:pt>
                <c:pt idx="65">
                  <c:v>14052</c:v>
                </c:pt>
                <c:pt idx="66" formatCode="#,##0">
                  <c:v>211682</c:v>
                </c:pt>
                <c:pt idx="67">
                  <c:v>80872</c:v>
                </c:pt>
                <c:pt idx="68">
                  <c:v>73419</c:v>
                </c:pt>
                <c:pt idx="69">
                  <c:v>15740</c:v>
                </c:pt>
                <c:pt idx="70">
                  <c:v>19</c:v>
                </c:pt>
                <c:pt idx="71">
                  <c:v>1977</c:v>
                </c:pt>
                <c:pt idx="72">
                  <c:v>62281</c:v>
                </c:pt>
                <c:pt idx="73">
                  <c:v>514</c:v>
                </c:pt>
                <c:pt idx="74">
                  <c:v>0</c:v>
                </c:pt>
                <c:pt idx="75">
                  <c:v>141</c:v>
                </c:pt>
                <c:pt idx="76">
                  <c:v>18613</c:v>
                </c:pt>
                <c:pt idx="77">
                  <c:v>22980</c:v>
                </c:pt>
                <c:pt idx="78">
                  <c:v>26179</c:v>
                </c:pt>
                <c:pt idx="79">
                  <c:v>45278</c:v>
                </c:pt>
                <c:pt idx="80">
                  <c:v>3699</c:v>
                </c:pt>
                <c:pt idx="81">
                  <c:v>1204</c:v>
                </c:pt>
                <c:pt idx="82">
                  <c:v>405</c:v>
                </c:pt>
                <c:pt idx="83">
                  <c:v>211</c:v>
                </c:pt>
                <c:pt idx="84">
                  <c:v>65</c:v>
                </c:pt>
                <c:pt idx="85">
                  <c:v>0</c:v>
                </c:pt>
                <c:pt idx="86" formatCode="#,##0">
                  <c:v>117311</c:v>
                </c:pt>
                <c:pt idx="87">
                  <c:v>440</c:v>
                </c:pt>
                <c:pt idx="88">
                  <c:v>13</c:v>
                </c:pt>
                <c:pt idx="89">
                  <c:v>5625</c:v>
                </c:pt>
                <c:pt idx="90">
                  <c:v>23929</c:v>
                </c:pt>
                <c:pt idx="91">
                  <c:v>2671</c:v>
                </c:pt>
                <c:pt idx="92">
                  <c:v>74</c:v>
                </c:pt>
                <c:pt idx="93">
                  <c:v>2423</c:v>
                </c:pt>
                <c:pt idx="94">
                  <c:v>4395</c:v>
                </c:pt>
                <c:pt idx="95">
                  <c:v>35574</c:v>
                </c:pt>
                <c:pt idx="96">
                  <c:v>2742</c:v>
                </c:pt>
                <c:pt idx="97">
                  <c:v>2674</c:v>
                </c:pt>
                <c:pt idx="98">
                  <c:v>3706</c:v>
                </c:pt>
                <c:pt idx="99">
                  <c:v>12529</c:v>
                </c:pt>
                <c:pt idx="100" formatCode="#,##0">
                  <c:v>198945</c:v>
                </c:pt>
                <c:pt idx="101">
                  <c:v>76597</c:v>
                </c:pt>
                <c:pt idx="102">
                  <c:v>71182</c:v>
                </c:pt>
                <c:pt idx="103">
                  <c:v>15308</c:v>
                </c:pt>
                <c:pt idx="104">
                  <c:v>12</c:v>
                </c:pt>
                <c:pt idx="105">
                  <c:v>2567</c:v>
                </c:pt>
                <c:pt idx="106">
                  <c:v>58464</c:v>
                </c:pt>
                <c:pt idx="107">
                  <c:v>479</c:v>
                </c:pt>
                <c:pt idx="108">
                  <c:v>0</c:v>
                </c:pt>
                <c:pt idx="109">
                  <c:v>159</c:v>
                </c:pt>
                <c:pt idx="110">
                  <c:v>16602</c:v>
                </c:pt>
                <c:pt idx="111">
                  <c:v>19893</c:v>
                </c:pt>
                <c:pt idx="112">
                  <c:v>23513</c:v>
                </c:pt>
                <c:pt idx="113">
                  <c:v>49046</c:v>
                </c:pt>
                <c:pt idx="114">
                  <c:v>3614</c:v>
                </c:pt>
                <c:pt idx="115">
                  <c:v>1353</c:v>
                </c:pt>
                <c:pt idx="116">
                  <c:v>382</c:v>
                </c:pt>
                <c:pt idx="117">
                  <c:v>267</c:v>
                </c:pt>
                <c:pt idx="118">
                  <c:v>238</c:v>
                </c:pt>
                <c:pt idx="119">
                  <c:v>0</c:v>
                </c:pt>
                <c:pt idx="120">
                  <c:v>110291</c:v>
                </c:pt>
                <c:pt idx="121">
                  <c:v>400</c:v>
                </c:pt>
                <c:pt idx="122">
                  <c:v>8</c:v>
                </c:pt>
                <c:pt idx="123">
                  <c:v>6575</c:v>
                </c:pt>
                <c:pt idx="124">
                  <c:v>23787</c:v>
                </c:pt>
                <c:pt idx="125">
                  <c:v>2785</c:v>
                </c:pt>
                <c:pt idx="126">
                  <c:v>1</c:v>
                </c:pt>
                <c:pt idx="127">
                  <c:v>3032</c:v>
                </c:pt>
                <c:pt idx="128">
                  <c:v>3744</c:v>
                </c:pt>
                <c:pt idx="129">
                  <c:v>32503</c:v>
                </c:pt>
                <c:pt idx="130">
                  <c:v>2888</c:v>
                </c:pt>
                <c:pt idx="131">
                  <c:v>2702</c:v>
                </c:pt>
                <c:pt idx="132">
                  <c:v>3681</c:v>
                </c:pt>
                <c:pt idx="133">
                  <c:v>17823</c:v>
                </c:pt>
                <c:pt idx="134">
                  <c:v>196016</c:v>
                </c:pt>
                <c:pt idx="135">
                  <c:v>72343</c:v>
                </c:pt>
                <c:pt idx="136">
                  <c:v>64812</c:v>
                </c:pt>
                <c:pt idx="137">
                  <c:v>15408</c:v>
                </c:pt>
                <c:pt idx="138">
                  <c:v>6</c:v>
                </c:pt>
                <c:pt idx="139">
                  <c:v>1734</c:v>
                </c:pt>
                <c:pt idx="140">
                  <c:v>55385</c:v>
                </c:pt>
                <c:pt idx="141">
                  <c:v>505</c:v>
                </c:pt>
                <c:pt idx="142">
                  <c:v>0</c:v>
                </c:pt>
                <c:pt idx="143">
                  <c:v>209</c:v>
                </c:pt>
                <c:pt idx="144">
                  <c:v>14509</c:v>
                </c:pt>
                <c:pt idx="145">
                  <c:v>19750</c:v>
                </c:pt>
                <c:pt idx="146">
                  <c:v>16441</c:v>
                </c:pt>
                <c:pt idx="147">
                  <c:v>63761</c:v>
                </c:pt>
                <c:pt idx="148">
                  <c:v>3594</c:v>
                </c:pt>
                <c:pt idx="149">
                  <c:v>1552</c:v>
                </c:pt>
                <c:pt idx="150">
                  <c:v>388</c:v>
                </c:pt>
                <c:pt idx="151">
                  <c:v>260</c:v>
                </c:pt>
                <c:pt idx="152">
                  <c:v>253</c:v>
                </c:pt>
                <c:pt idx="153">
                  <c:v>0</c:v>
                </c:pt>
                <c:pt idx="154">
                  <c:v>106746</c:v>
                </c:pt>
                <c:pt idx="155">
                  <c:v>446</c:v>
                </c:pt>
                <c:pt idx="156">
                  <c:v>130</c:v>
                </c:pt>
                <c:pt idx="157">
                  <c:v>4987</c:v>
                </c:pt>
                <c:pt idx="158">
                  <c:v>22100</c:v>
                </c:pt>
                <c:pt idx="159">
                  <c:v>2505</c:v>
                </c:pt>
                <c:pt idx="160">
                  <c:v>1</c:v>
                </c:pt>
                <c:pt idx="161">
                  <c:v>3008</c:v>
                </c:pt>
                <c:pt idx="162">
                  <c:v>3444</c:v>
                </c:pt>
                <c:pt idx="163">
                  <c:v>32908</c:v>
                </c:pt>
                <c:pt idx="164">
                  <c:v>2875</c:v>
                </c:pt>
                <c:pt idx="165">
                  <c:v>2675</c:v>
                </c:pt>
                <c:pt idx="166">
                  <c:v>4028</c:v>
                </c:pt>
                <c:pt idx="167">
                  <c:v>18155</c:v>
                </c:pt>
                <c:pt idx="168">
                  <c:v>184168</c:v>
                </c:pt>
                <c:pt idx="169">
                  <c:v>67179</c:v>
                </c:pt>
                <c:pt idx="170">
                  <c:v>68507</c:v>
                </c:pt>
                <c:pt idx="171">
                  <c:v>17319</c:v>
                </c:pt>
                <c:pt idx="172">
                  <c:v>3</c:v>
                </c:pt>
                <c:pt idx="173">
                  <c:v>1874</c:v>
                </c:pt>
                <c:pt idx="174">
                  <c:v>59476</c:v>
                </c:pt>
                <c:pt idx="175">
                  <c:v>485</c:v>
                </c:pt>
                <c:pt idx="176">
                  <c:v>0</c:v>
                </c:pt>
                <c:pt idx="177">
                  <c:v>196</c:v>
                </c:pt>
                <c:pt idx="178">
                  <c:v>14034</c:v>
                </c:pt>
                <c:pt idx="179">
                  <c:v>16753</c:v>
                </c:pt>
                <c:pt idx="180">
                  <c:v>17773</c:v>
                </c:pt>
                <c:pt idx="181">
                  <c:v>64885</c:v>
                </c:pt>
                <c:pt idx="182">
                  <c:v>3925</c:v>
                </c:pt>
                <c:pt idx="183">
                  <c:v>2035</c:v>
                </c:pt>
                <c:pt idx="184">
                  <c:v>493</c:v>
                </c:pt>
                <c:pt idx="185">
                  <c:v>409</c:v>
                </c:pt>
                <c:pt idx="186">
                  <c:v>286</c:v>
                </c:pt>
                <c:pt idx="187">
                  <c:v>0</c:v>
                </c:pt>
                <c:pt idx="188">
                  <c:v>116345</c:v>
                </c:pt>
                <c:pt idx="189">
                  <c:v>430</c:v>
                </c:pt>
                <c:pt idx="190">
                  <c:v>88</c:v>
                </c:pt>
                <c:pt idx="191">
                  <c:v>4762</c:v>
                </c:pt>
                <c:pt idx="192">
                  <c:v>22041</c:v>
                </c:pt>
                <c:pt idx="193">
                  <c:v>1991</c:v>
                </c:pt>
                <c:pt idx="194">
                  <c:v>112</c:v>
                </c:pt>
                <c:pt idx="195">
                  <c:v>2913</c:v>
                </c:pt>
                <c:pt idx="196">
                  <c:v>3107</c:v>
                </c:pt>
                <c:pt idx="197">
                  <c:v>29314</c:v>
                </c:pt>
                <c:pt idx="198">
                  <c:v>3065</c:v>
                </c:pt>
                <c:pt idx="199">
                  <c:v>2804</c:v>
                </c:pt>
                <c:pt idx="200">
                  <c:v>2934</c:v>
                </c:pt>
                <c:pt idx="201">
                  <c:v>21800</c:v>
                </c:pt>
                <c:pt idx="202">
                  <c:v>120792</c:v>
                </c:pt>
                <c:pt idx="203">
                  <c:v>66044</c:v>
                </c:pt>
                <c:pt idx="204">
                  <c:v>278.01799999999992</c:v>
                </c:pt>
                <c:pt idx="205">
                  <c:v>1340.8409999999999</c:v>
                </c:pt>
                <c:pt idx="206">
                  <c:v>3</c:v>
                </c:pt>
                <c:pt idx="207">
                  <c:v>1770</c:v>
                </c:pt>
                <c:pt idx="208">
                  <c:v>253.77100000000004</c:v>
                </c:pt>
                <c:pt idx="209">
                  <c:v>465</c:v>
                </c:pt>
                <c:pt idx="210">
                  <c:v>0</c:v>
                </c:pt>
                <c:pt idx="211">
                  <c:v>182</c:v>
                </c:pt>
                <c:pt idx="212">
                  <c:v>2801.6040000000003</c:v>
                </c:pt>
                <c:pt idx="213">
                  <c:v>1389.309</c:v>
                </c:pt>
                <c:pt idx="214">
                  <c:v>1386.5400000000002</c:v>
                </c:pt>
                <c:pt idx="215">
                  <c:v>190.441</c:v>
                </c:pt>
                <c:pt idx="216">
                  <c:v>3736</c:v>
                </c:pt>
                <c:pt idx="217">
                  <c:v>1929</c:v>
                </c:pt>
                <c:pt idx="218">
                  <c:v>474</c:v>
                </c:pt>
                <c:pt idx="219">
                  <c:v>392</c:v>
                </c:pt>
                <c:pt idx="220">
                  <c:v>276</c:v>
                </c:pt>
                <c:pt idx="221">
                  <c:v>0</c:v>
                </c:pt>
                <c:pt idx="222">
                  <c:v>493.14599999999996</c:v>
                </c:pt>
                <c:pt idx="223">
                  <c:v>411</c:v>
                </c:pt>
                <c:pt idx="224">
                  <c:v>84</c:v>
                </c:pt>
                <c:pt idx="225">
                  <c:v>4641</c:v>
                </c:pt>
                <c:pt idx="226">
                  <c:v>523.83300000000008</c:v>
                </c:pt>
                <c:pt idx="227">
                  <c:v>2271</c:v>
                </c:pt>
                <c:pt idx="228">
                  <c:v>128</c:v>
                </c:pt>
                <c:pt idx="229">
                  <c:v>2782</c:v>
                </c:pt>
                <c:pt idx="230">
                  <c:v>3152</c:v>
                </c:pt>
                <c:pt idx="231">
                  <c:v>818.11300000000006</c:v>
                </c:pt>
                <c:pt idx="232">
                  <c:v>2927</c:v>
                </c:pt>
                <c:pt idx="233">
                  <c:v>2677</c:v>
                </c:pt>
                <c:pt idx="234">
                  <c:v>3291</c:v>
                </c:pt>
                <c:pt idx="235">
                  <c:v>557.23599999999999</c:v>
                </c:pt>
                <c:pt idx="236">
                  <c:v>516.50799999999992</c:v>
                </c:pt>
                <c:pt idx="237">
                  <c:v>343.64699999999999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D29-4D90-9FAD-B20791732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8197127"/>
        <c:axId val="820083232"/>
      </c:barChart>
      <c:catAx>
        <c:axId val="15081971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0083232"/>
        <c:crosses val="autoZero"/>
        <c:auto val="1"/>
        <c:lblAlgn val="ctr"/>
        <c:lblOffset val="100"/>
        <c:noMultiLvlLbl val="1"/>
      </c:catAx>
      <c:valAx>
        <c:axId val="8200832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819712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400050</xdr:colOff>
      <xdr:row>241</xdr:row>
      <xdr:rowOff>38100</xdr:rowOff>
    </xdr:from>
    <xdr:ext cx="3476625" cy="21526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969"/>
  <sheetViews>
    <sheetView tabSelected="1" topLeftCell="A32" workbookViewId="0">
      <selection activeCell="B12" sqref="B12"/>
    </sheetView>
  </sheetViews>
  <sheetFormatPr defaultColWidth="12.5703125" defaultRowHeight="15.75" customHeight="1" x14ac:dyDescent="0.2"/>
  <sheetData>
    <row r="1" spans="1:2" x14ac:dyDescent="0.2">
      <c r="A1" s="31" t="s">
        <v>0</v>
      </c>
      <c r="B1" s="31" t="s">
        <v>1</v>
      </c>
    </row>
    <row r="2" spans="1:2" x14ac:dyDescent="0.2">
      <c r="A2" s="32" t="s">
        <v>2</v>
      </c>
      <c r="B2" s="33">
        <v>2022</v>
      </c>
    </row>
    <row r="3" spans="1:2" x14ac:dyDescent="0.2">
      <c r="A3" s="32" t="s">
        <v>3</v>
      </c>
      <c r="B3" s="33">
        <v>2022</v>
      </c>
    </row>
    <row r="4" spans="1:2" x14ac:dyDescent="0.2">
      <c r="A4" s="32" t="s">
        <v>4</v>
      </c>
      <c r="B4" s="33">
        <v>2022</v>
      </c>
    </row>
    <row r="5" spans="1:2" x14ac:dyDescent="0.2">
      <c r="A5" s="32" t="s">
        <v>5</v>
      </c>
      <c r="B5" s="33">
        <v>2022</v>
      </c>
    </row>
    <row r="6" spans="1:2" x14ac:dyDescent="0.2">
      <c r="A6" s="32" t="s">
        <v>7</v>
      </c>
      <c r="B6" s="33">
        <v>2022</v>
      </c>
    </row>
    <row r="7" spans="1:2" x14ac:dyDescent="0.2">
      <c r="A7" s="32" t="s">
        <v>8</v>
      </c>
      <c r="B7" s="33">
        <v>2022</v>
      </c>
    </row>
    <row r="8" spans="1:2" x14ac:dyDescent="0.2">
      <c r="A8" s="32" t="s">
        <v>9</v>
      </c>
      <c r="B8" s="33">
        <v>2022</v>
      </c>
    </row>
    <row r="9" spans="1:2" x14ac:dyDescent="0.2">
      <c r="A9" s="32" t="s">
        <v>10</v>
      </c>
      <c r="B9" s="33">
        <v>2022</v>
      </c>
    </row>
    <row r="10" spans="1:2" x14ac:dyDescent="0.2">
      <c r="A10" s="32" t="s">
        <v>42</v>
      </c>
      <c r="B10" s="33">
        <v>2022</v>
      </c>
    </row>
    <row r="11" spans="1:2" x14ac:dyDescent="0.2">
      <c r="A11" s="32" t="s">
        <v>6</v>
      </c>
      <c r="B11" s="33">
        <v>2022</v>
      </c>
    </row>
    <row r="12" spans="1:2" x14ac:dyDescent="0.2">
      <c r="A12" s="32" t="s">
        <v>11</v>
      </c>
      <c r="B12" s="33">
        <v>2022</v>
      </c>
    </row>
    <row r="13" spans="1:2" x14ac:dyDescent="0.2">
      <c r="A13" s="32" t="s">
        <v>12</v>
      </c>
      <c r="B13" s="33">
        <v>2022</v>
      </c>
    </row>
    <row r="14" spans="1:2" x14ac:dyDescent="0.2">
      <c r="A14" s="32" t="s">
        <v>14</v>
      </c>
      <c r="B14" s="33">
        <v>2022</v>
      </c>
    </row>
    <row r="15" spans="1:2" x14ac:dyDescent="0.2">
      <c r="A15" s="32" t="s">
        <v>43</v>
      </c>
      <c r="B15" s="33">
        <v>2022</v>
      </c>
    </row>
    <row r="16" spans="1:2" x14ac:dyDescent="0.2">
      <c r="A16" s="32" t="s">
        <v>15</v>
      </c>
      <c r="B16" s="33">
        <v>2022</v>
      </c>
    </row>
    <row r="17" spans="1:2" x14ac:dyDescent="0.2">
      <c r="A17" s="32" t="s">
        <v>13</v>
      </c>
      <c r="B17" s="33">
        <v>2022</v>
      </c>
    </row>
    <row r="18" spans="1:2" x14ac:dyDescent="0.2">
      <c r="A18" s="32" t="s">
        <v>16</v>
      </c>
      <c r="B18" s="33">
        <v>2022</v>
      </c>
    </row>
    <row r="19" spans="1:2" x14ac:dyDescent="0.2">
      <c r="A19" s="32" t="s">
        <v>17</v>
      </c>
      <c r="B19" s="33">
        <v>2022</v>
      </c>
    </row>
    <row r="20" spans="1:2" x14ac:dyDescent="0.2">
      <c r="A20" s="32" t="s">
        <v>18</v>
      </c>
      <c r="B20" s="33">
        <v>2022</v>
      </c>
    </row>
    <row r="21" spans="1:2" x14ac:dyDescent="0.2">
      <c r="A21" s="32" t="s">
        <v>19</v>
      </c>
      <c r="B21" s="33">
        <v>2022</v>
      </c>
    </row>
    <row r="22" spans="1:2" x14ac:dyDescent="0.2">
      <c r="A22" s="32" t="s">
        <v>20</v>
      </c>
      <c r="B22" s="33">
        <v>2022</v>
      </c>
    </row>
    <row r="23" spans="1:2" x14ac:dyDescent="0.2">
      <c r="A23" s="32" t="s">
        <v>21</v>
      </c>
      <c r="B23" s="33">
        <v>2022</v>
      </c>
    </row>
    <row r="24" spans="1:2" x14ac:dyDescent="0.2">
      <c r="A24" s="32" t="s">
        <v>22</v>
      </c>
      <c r="B24" s="33">
        <v>2022</v>
      </c>
    </row>
    <row r="25" spans="1:2" x14ac:dyDescent="0.2">
      <c r="A25" s="32" t="s">
        <v>23</v>
      </c>
      <c r="B25" s="33">
        <v>2022</v>
      </c>
    </row>
    <row r="26" spans="1:2" x14ac:dyDescent="0.2">
      <c r="A26" s="32" t="s">
        <v>24</v>
      </c>
      <c r="B26" s="33">
        <v>2022</v>
      </c>
    </row>
    <row r="27" spans="1:2" x14ac:dyDescent="0.2">
      <c r="A27" s="32" t="s">
        <v>26</v>
      </c>
      <c r="B27" s="33">
        <v>2022</v>
      </c>
    </row>
    <row r="28" spans="1:2" x14ac:dyDescent="0.2">
      <c r="A28" s="32" t="s">
        <v>27</v>
      </c>
      <c r="B28" s="33">
        <v>2022</v>
      </c>
    </row>
    <row r="29" spans="1:2" x14ac:dyDescent="0.2">
      <c r="A29" s="32" t="s">
        <v>29</v>
      </c>
      <c r="B29" s="33">
        <v>2022</v>
      </c>
    </row>
    <row r="30" spans="1:2" x14ac:dyDescent="0.2">
      <c r="A30" s="32" t="s">
        <v>25</v>
      </c>
      <c r="B30" s="33">
        <v>2022</v>
      </c>
    </row>
    <row r="31" spans="1:2" x14ac:dyDescent="0.2">
      <c r="A31" s="32" t="s">
        <v>28</v>
      </c>
      <c r="B31" s="33">
        <v>2022</v>
      </c>
    </row>
    <row r="32" spans="1:2" x14ac:dyDescent="0.2">
      <c r="A32" s="32" t="s">
        <v>30</v>
      </c>
      <c r="B32" s="33">
        <v>2022</v>
      </c>
    </row>
    <row r="33" spans="1:2" x14ac:dyDescent="0.2">
      <c r="A33" s="32" t="s">
        <v>31</v>
      </c>
      <c r="B33" s="33">
        <v>2022</v>
      </c>
    </row>
    <row r="34" spans="1:2" x14ac:dyDescent="0.2">
      <c r="A34" s="32" t="s">
        <v>33</v>
      </c>
      <c r="B34" s="33">
        <v>2022</v>
      </c>
    </row>
    <row r="35" spans="1:2" x14ac:dyDescent="0.2">
      <c r="A35" s="32" t="s">
        <v>32</v>
      </c>
      <c r="B35" s="33">
        <v>2022</v>
      </c>
    </row>
    <row r="36" spans="1:2" x14ac:dyDescent="0.2">
      <c r="A36" s="34" t="s">
        <v>2</v>
      </c>
      <c r="B36" s="35">
        <v>2021</v>
      </c>
    </row>
    <row r="37" spans="1:2" x14ac:dyDescent="0.2">
      <c r="A37" s="32" t="s">
        <v>3</v>
      </c>
      <c r="B37" s="33">
        <v>2021</v>
      </c>
    </row>
    <row r="38" spans="1:2" x14ac:dyDescent="0.2">
      <c r="A38" s="32" t="s">
        <v>4</v>
      </c>
      <c r="B38" s="33">
        <v>2021</v>
      </c>
    </row>
    <row r="39" spans="1:2" x14ac:dyDescent="0.2">
      <c r="A39" s="32" t="s">
        <v>5</v>
      </c>
      <c r="B39" s="33">
        <v>2021</v>
      </c>
    </row>
    <row r="40" spans="1:2" x14ac:dyDescent="0.2">
      <c r="A40" s="32" t="s">
        <v>7</v>
      </c>
      <c r="B40" s="33">
        <v>2021</v>
      </c>
    </row>
    <row r="41" spans="1:2" x14ac:dyDescent="0.2">
      <c r="A41" s="32" t="s">
        <v>8</v>
      </c>
      <c r="B41" s="33">
        <v>2021</v>
      </c>
    </row>
    <row r="42" spans="1:2" x14ac:dyDescent="0.2">
      <c r="A42" s="32" t="s">
        <v>9</v>
      </c>
      <c r="B42" s="33">
        <v>2021</v>
      </c>
    </row>
    <row r="43" spans="1:2" x14ac:dyDescent="0.2">
      <c r="A43" s="32" t="s">
        <v>10</v>
      </c>
      <c r="B43" s="33">
        <v>2021</v>
      </c>
    </row>
    <row r="44" spans="1:2" x14ac:dyDescent="0.2">
      <c r="A44" s="32" t="s">
        <v>42</v>
      </c>
      <c r="B44" s="33">
        <v>2021</v>
      </c>
    </row>
    <row r="45" spans="1:2" x14ac:dyDescent="0.2">
      <c r="A45" s="32" t="s">
        <v>6</v>
      </c>
      <c r="B45" s="33">
        <v>2021</v>
      </c>
    </row>
    <row r="46" spans="1:2" x14ac:dyDescent="0.2">
      <c r="A46" s="32" t="s">
        <v>11</v>
      </c>
      <c r="B46" s="33">
        <v>2021</v>
      </c>
    </row>
    <row r="47" spans="1:2" x14ac:dyDescent="0.2">
      <c r="A47" s="32" t="s">
        <v>12</v>
      </c>
      <c r="B47" s="33">
        <v>2021</v>
      </c>
    </row>
    <row r="48" spans="1:2" x14ac:dyDescent="0.2">
      <c r="A48" s="32" t="s">
        <v>14</v>
      </c>
      <c r="B48" s="33">
        <v>2021</v>
      </c>
    </row>
    <row r="49" spans="1:2" x14ac:dyDescent="0.2">
      <c r="A49" s="32" t="s">
        <v>43</v>
      </c>
      <c r="B49" s="33">
        <v>2021</v>
      </c>
    </row>
    <row r="50" spans="1:2" x14ac:dyDescent="0.2">
      <c r="A50" s="32" t="s">
        <v>15</v>
      </c>
      <c r="B50" s="33">
        <v>2021</v>
      </c>
    </row>
    <row r="51" spans="1:2" x14ac:dyDescent="0.2">
      <c r="A51" s="32" t="s">
        <v>13</v>
      </c>
      <c r="B51" s="33">
        <v>2021</v>
      </c>
    </row>
    <row r="52" spans="1:2" x14ac:dyDescent="0.2">
      <c r="A52" s="32" t="s">
        <v>16</v>
      </c>
      <c r="B52" s="33">
        <v>2021</v>
      </c>
    </row>
    <row r="53" spans="1:2" x14ac:dyDescent="0.2">
      <c r="A53" s="32" t="s">
        <v>17</v>
      </c>
      <c r="B53" s="33">
        <v>2021</v>
      </c>
    </row>
    <row r="54" spans="1:2" x14ac:dyDescent="0.2">
      <c r="A54" s="32" t="s">
        <v>18</v>
      </c>
      <c r="B54" s="33">
        <v>2021</v>
      </c>
    </row>
    <row r="55" spans="1:2" x14ac:dyDescent="0.2">
      <c r="A55" s="32" t="s">
        <v>19</v>
      </c>
      <c r="B55" s="33">
        <v>2021</v>
      </c>
    </row>
    <row r="56" spans="1:2" x14ac:dyDescent="0.2">
      <c r="A56" s="32" t="s">
        <v>20</v>
      </c>
      <c r="B56" s="33">
        <v>2021</v>
      </c>
    </row>
    <row r="57" spans="1:2" x14ac:dyDescent="0.2">
      <c r="A57" s="32" t="s">
        <v>21</v>
      </c>
      <c r="B57" s="33">
        <v>2021</v>
      </c>
    </row>
    <row r="58" spans="1:2" x14ac:dyDescent="0.2">
      <c r="A58" s="32" t="s">
        <v>22</v>
      </c>
      <c r="B58" s="33">
        <v>2021</v>
      </c>
    </row>
    <row r="59" spans="1:2" x14ac:dyDescent="0.2">
      <c r="A59" s="32" t="s">
        <v>23</v>
      </c>
      <c r="B59" s="33">
        <v>2021</v>
      </c>
    </row>
    <row r="60" spans="1:2" x14ac:dyDescent="0.2">
      <c r="A60" s="32" t="s">
        <v>24</v>
      </c>
      <c r="B60" s="33">
        <v>2021</v>
      </c>
    </row>
    <row r="61" spans="1:2" x14ac:dyDescent="0.2">
      <c r="A61" s="32" t="s">
        <v>26</v>
      </c>
      <c r="B61" s="33">
        <v>2021</v>
      </c>
    </row>
    <row r="62" spans="1:2" x14ac:dyDescent="0.2">
      <c r="A62" s="32" t="s">
        <v>27</v>
      </c>
      <c r="B62" s="33">
        <v>2021</v>
      </c>
    </row>
    <row r="63" spans="1:2" x14ac:dyDescent="0.2">
      <c r="A63" s="32" t="s">
        <v>29</v>
      </c>
      <c r="B63" s="33">
        <v>2021</v>
      </c>
    </row>
    <row r="64" spans="1:2" x14ac:dyDescent="0.2">
      <c r="A64" s="32" t="s">
        <v>25</v>
      </c>
      <c r="B64" s="33">
        <v>2021</v>
      </c>
    </row>
    <row r="65" spans="1:2" x14ac:dyDescent="0.2">
      <c r="A65" s="32" t="s">
        <v>28</v>
      </c>
      <c r="B65" s="33">
        <v>2021</v>
      </c>
    </row>
    <row r="66" spans="1:2" x14ac:dyDescent="0.2">
      <c r="A66" s="32" t="s">
        <v>30</v>
      </c>
      <c r="B66" s="33">
        <v>2021</v>
      </c>
    </row>
    <row r="67" spans="1:2" x14ac:dyDescent="0.2">
      <c r="A67" s="32" t="s">
        <v>31</v>
      </c>
      <c r="B67" s="33">
        <v>2021</v>
      </c>
    </row>
    <row r="68" spans="1:2" x14ac:dyDescent="0.2">
      <c r="A68" s="32" t="s">
        <v>33</v>
      </c>
      <c r="B68" s="33">
        <v>2021</v>
      </c>
    </row>
    <row r="69" spans="1:2" x14ac:dyDescent="0.2">
      <c r="A69" s="32" t="s">
        <v>32</v>
      </c>
      <c r="B69" s="33">
        <v>2021</v>
      </c>
    </row>
    <row r="70" spans="1:2" x14ac:dyDescent="0.2">
      <c r="A70" s="34" t="s">
        <v>2</v>
      </c>
      <c r="B70" s="35">
        <v>2020</v>
      </c>
    </row>
    <row r="71" spans="1:2" x14ac:dyDescent="0.2">
      <c r="A71" s="32" t="s">
        <v>3</v>
      </c>
      <c r="B71" s="33">
        <v>2020</v>
      </c>
    </row>
    <row r="72" spans="1:2" x14ac:dyDescent="0.2">
      <c r="A72" s="32" t="s">
        <v>4</v>
      </c>
      <c r="B72" s="33">
        <v>2020</v>
      </c>
    </row>
    <row r="73" spans="1:2" x14ac:dyDescent="0.2">
      <c r="A73" s="32" t="s">
        <v>5</v>
      </c>
      <c r="B73" s="33">
        <v>2020</v>
      </c>
    </row>
    <row r="74" spans="1:2" x14ac:dyDescent="0.2">
      <c r="A74" s="32" t="s">
        <v>7</v>
      </c>
      <c r="B74" s="33">
        <v>2020</v>
      </c>
    </row>
    <row r="75" spans="1:2" x14ac:dyDescent="0.2">
      <c r="A75" s="32" t="s">
        <v>8</v>
      </c>
      <c r="B75" s="33">
        <v>2020</v>
      </c>
    </row>
    <row r="76" spans="1:2" x14ac:dyDescent="0.2">
      <c r="A76" s="32" t="s">
        <v>9</v>
      </c>
      <c r="B76" s="33">
        <v>2020</v>
      </c>
    </row>
    <row r="77" spans="1:2" x14ac:dyDescent="0.2">
      <c r="A77" s="32" t="s">
        <v>10</v>
      </c>
      <c r="B77" s="33">
        <v>2020</v>
      </c>
    </row>
    <row r="78" spans="1:2" x14ac:dyDescent="0.2">
      <c r="A78" s="32" t="s">
        <v>42</v>
      </c>
      <c r="B78" s="33">
        <v>2020</v>
      </c>
    </row>
    <row r="79" spans="1:2" x14ac:dyDescent="0.2">
      <c r="A79" s="32" t="s">
        <v>6</v>
      </c>
      <c r="B79" s="33">
        <v>2020</v>
      </c>
    </row>
    <row r="80" spans="1:2" x14ac:dyDescent="0.2">
      <c r="A80" s="32" t="s">
        <v>11</v>
      </c>
      <c r="B80" s="33">
        <v>2020</v>
      </c>
    </row>
    <row r="81" spans="1:2" x14ac:dyDescent="0.2">
      <c r="A81" s="32" t="s">
        <v>12</v>
      </c>
      <c r="B81" s="33">
        <v>2020</v>
      </c>
    </row>
    <row r="82" spans="1:2" x14ac:dyDescent="0.2">
      <c r="A82" s="32" t="s">
        <v>14</v>
      </c>
      <c r="B82" s="33">
        <v>2020</v>
      </c>
    </row>
    <row r="83" spans="1:2" x14ac:dyDescent="0.2">
      <c r="A83" s="32" t="s">
        <v>43</v>
      </c>
      <c r="B83" s="33">
        <v>2020</v>
      </c>
    </row>
    <row r="84" spans="1:2" x14ac:dyDescent="0.2">
      <c r="A84" s="32" t="s">
        <v>15</v>
      </c>
      <c r="B84" s="33">
        <v>2020</v>
      </c>
    </row>
    <row r="85" spans="1:2" x14ac:dyDescent="0.2">
      <c r="A85" s="32" t="s">
        <v>13</v>
      </c>
      <c r="B85" s="33">
        <v>2020</v>
      </c>
    </row>
    <row r="86" spans="1:2" x14ac:dyDescent="0.2">
      <c r="A86" s="32" t="s">
        <v>16</v>
      </c>
      <c r="B86" s="33">
        <v>2020</v>
      </c>
    </row>
    <row r="87" spans="1:2" x14ac:dyDescent="0.2">
      <c r="A87" s="32" t="s">
        <v>17</v>
      </c>
      <c r="B87" s="33">
        <v>2020</v>
      </c>
    </row>
    <row r="88" spans="1:2" x14ac:dyDescent="0.2">
      <c r="A88" s="32" t="s">
        <v>18</v>
      </c>
      <c r="B88" s="33">
        <v>2020</v>
      </c>
    </row>
    <row r="89" spans="1:2" x14ac:dyDescent="0.2">
      <c r="A89" s="32" t="s">
        <v>19</v>
      </c>
      <c r="B89" s="33">
        <v>2020</v>
      </c>
    </row>
    <row r="90" spans="1:2" x14ac:dyDescent="0.2">
      <c r="A90" s="32" t="s">
        <v>20</v>
      </c>
      <c r="B90" s="33">
        <v>2020</v>
      </c>
    </row>
    <row r="91" spans="1:2" x14ac:dyDescent="0.2">
      <c r="A91" s="32" t="s">
        <v>21</v>
      </c>
      <c r="B91" s="33">
        <v>2020</v>
      </c>
    </row>
    <row r="92" spans="1:2" x14ac:dyDescent="0.2">
      <c r="A92" s="32" t="s">
        <v>22</v>
      </c>
      <c r="B92" s="33">
        <v>2020</v>
      </c>
    </row>
    <row r="93" spans="1:2" x14ac:dyDescent="0.2">
      <c r="A93" s="32" t="s">
        <v>23</v>
      </c>
      <c r="B93" s="33">
        <v>2020</v>
      </c>
    </row>
    <row r="94" spans="1:2" x14ac:dyDescent="0.2">
      <c r="A94" s="32" t="s">
        <v>24</v>
      </c>
      <c r="B94" s="33">
        <v>2020</v>
      </c>
    </row>
    <row r="95" spans="1:2" x14ac:dyDescent="0.2">
      <c r="A95" s="32" t="s">
        <v>26</v>
      </c>
      <c r="B95" s="33">
        <v>2020</v>
      </c>
    </row>
    <row r="96" spans="1:2" x14ac:dyDescent="0.2">
      <c r="A96" s="32" t="s">
        <v>27</v>
      </c>
      <c r="B96" s="33">
        <v>2020</v>
      </c>
    </row>
    <row r="97" spans="1:2" x14ac:dyDescent="0.2">
      <c r="A97" s="32" t="s">
        <v>29</v>
      </c>
      <c r="B97" s="33">
        <v>2020</v>
      </c>
    </row>
    <row r="98" spans="1:2" x14ac:dyDescent="0.2">
      <c r="A98" s="32" t="s">
        <v>25</v>
      </c>
      <c r="B98" s="33">
        <v>2020</v>
      </c>
    </row>
    <row r="99" spans="1:2" x14ac:dyDescent="0.2">
      <c r="A99" s="32" t="s">
        <v>28</v>
      </c>
      <c r="B99" s="33">
        <v>2020</v>
      </c>
    </row>
    <row r="100" spans="1:2" x14ac:dyDescent="0.2">
      <c r="A100" s="32" t="s">
        <v>30</v>
      </c>
      <c r="B100" s="33">
        <v>2020</v>
      </c>
    </row>
    <row r="101" spans="1:2" x14ac:dyDescent="0.2">
      <c r="A101" s="32" t="s">
        <v>31</v>
      </c>
      <c r="B101" s="33">
        <v>2020</v>
      </c>
    </row>
    <row r="102" spans="1:2" x14ac:dyDescent="0.2">
      <c r="A102" s="32" t="s">
        <v>33</v>
      </c>
      <c r="B102" s="33">
        <v>2020</v>
      </c>
    </row>
    <row r="103" spans="1:2" x14ac:dyDescent="0.2">
      <c r="A103" s="32" t="s">
        <v>32</v>
      </c>
      <c r="B103" s="33">
        <v>2020</v>
      </c>
    </row>
    <row r="104" spans="1:2" x14ac:dyDescent="0.2">
      <c r="A104" s="36" t="s">
        <v>2</v>
      </c>
      <c r="B104" s="35">
        <v>2019</v>
      </c>
    </row>
    <row r="105" spans="1:2" x14ac:dyDescent="0.2">
      <c r="A105" s="37" t="s">
        <v>3</v>
      </c>
      <c r="B105" s="33">
        <v>2019</v>
      </c>
    </row>
    <row r="106" spans="1:2" x14ac:dyDescent="0.2">
      <c r="A106" s="37" t="s">
        <v>4</v>
      </c>
      <c r="B106" s="33">
        <v>2019</v>
      </c>
    </row>
    <row r="107" spans="1:2" x14ac:dyDescent="0.2">
      <c r="A107" s="37" t="s">
        <v>5</v>
      </c>
      <c r="B107" s="33">
        <v>2019</v>
      </c>
    </row>
    <row r="108" spans="1:2" x14ac:dyDescent="0.2">
      <c r="A108" s="37" t="s">
        <v>7</v>
      </c>
      <c r="B108" s="33">
        <v>2019</v>
      </c>
    </row>
    <row r="109" spans="1:2" x14ac:dyDescent="0.2">
      <c r="A109" s="37" t="s">
        <v>8</v>
      </c>
      <c r="B109" s="33">
        <v>2019</v>
      </c>
    </row>
    <row r="110" spans="1:2" x14ac:dyDescent="0.2">
      <c r="A110" s="37" t="s">
        <v>9</v>
      </c>
      <c r="B110" s="33">
        <v>2019</v>
      </c>
    </row>
    <row r="111" spans="1:2" x14ac:dyDescent="0.2">
      <c r="A111" s="37" t="s">
        <v>10</v>
      </c>
      <c r="B111" s="33">
        <v>2019</v>
      </c>
    </row>
    <row r="112" spans="1:2" x14ac:dyDescent="0.2">
      <c r="A112" s="37" t="s">
        <v>42</v>
      </c>
      <c r="B112" s="33">
        <v>2019</v>
      </c>
    </row>
    <row r="113" spans="1:2" x14ac:dyDescent="0.2">
      <c r="A113" s="37" t="s">
        <v>6</v>
      </c>
      <c r="B113" s="33">
        <v>2019</v>
      </c>
    </row>
    <row r="114" spans="1:2" x14ac:dyDescent="0.2">
      <c r="A114" s="37" t="s">
        <v>11</v>
      </c>
      <c r="B114" s="33">
        <v>2019</v>
      </c>
    </row>
    <row r="115" spans="1:2" x14ac:dyDescent="0.2">
      <c r="A115" s="37" t="s">
        <v>12</v>
      </c>
      <c r="B115" s="33">
        <v>2019</v>
      </c>
    </row>
    <row r="116" spans="1:2" x14ac:dyDescent="0.2">
      <c r="A116" s="37" t="s">
        <v>14</v>
      </c>
      <c r="B116" s="33">
        <v>2019</v>
      </c>
    </row>
    <row r="117" spans="1:2" x14ac:dyDescent="0.2">
      <c r="A117" s="37" t="s">
        <v>43</v>
      </c>
      <c r="B117" s="33">
        <v>2019</v>
      </c>
    </row>
    <row r="118" spans="1:2" x14ac:dyDescent="0.2">
      <c r="A118" s="37" t="s">
        <v>15</v>
      </c>
      <c r="B118" s="33">
        <v>2019</v>
      </c>
    </row>
    <row r="119" spans="1:2" x14ac:dyDescent="0.2">
      <c r="A119" s="37" t="s">
        <v>13</v>
      </c>
      <c r="B119" s="33">
        <v>2019</v>
      </c>
    </row>
    <row r="120" spans="1:2" x14ac:dyDescent="0.2">
      <c r="A120" s="37" t="s">
        <v>16</v>
      </c>
      <c r="B120" s="33">
        <v>2019</v>
      </c>
    </row>
    <row r="121" spans="1:2" x14ac:dyDescent="0.2">
      <c r="A121" s="37" t="s">
        <v>17</v>
      </c>
      <c r="B121" s="33">
        <v>2019</v>
      </c>
    </row>
    <row r="122" spans="1:2" x14ac:dyDescent="0.2">
      <c r="A122" s="37" t="s">
        <v>18</v>
      </c>
      <c r="B122" s="33">
        <v>2019</v>
      </c>
    </row>
    <row r="123" spans="1:2" x14ac:dyDescent="0.2">
      <c r="A123" s="37" t="s">
        <v>19</v>
      </c>
      <c r="B123" s="33">
        <v>2019</v>
      </c>
    </row>
    <row r="124" spans="1:2" x14ac:dyDescent="0.2">
      <c r="A124" s="37" t="s">
        <v>20</v>
      </c>
      <c r="B124" s="33">
        <v>2019</v>
      </c>
    </row>
    <row r="125" spans="1:2" x14ac:dyDescent="0.2">
      <c r="A125" s="37" t="s">
        <v>21</v>
      </c>
      <c r="B125" s="33">
        <v>2019</v>
      </c>
    </row>
    <row r="126" spans="1:2" x14ac:dyDescent="0.2">
      <c r="A126" s="37" t="s">
        <v>22</v>
      </c>
      <c r="B126" s="33">
        <v>2019</v>
      </c>
    </row>
    <row r="127" spans="1:2" x14ac:dyDescent="0.2">
      <c r="A127" s="37" t="s">
        <v>23</v>
      </c>
      <c r="B127" s="33">
        <v>2019</v>
      </c>
    </row>
    <row r="128" spans="1:2" x14ac:dyDescent="0.2">
      <c r="A128" s="37" t="s">
        <v>24</v>
      </c>
      <c r="B128" s="33">
        <v>2019</v>
      </c>
    </row>
    <row r="129" spans="1:2" x14ac:dyDescent="0.2">
      <c r="A129" s="37" t="s">
        <v>26</v>
      </c>
      <c r="B129" s="33">
        <v>2019</v>
      </c>
    </row>
    <row r="130" spans="1:2" x14ac:dyDescent="0.2">
      <c r="A130" s="37" t="s">
        <v>27</v>
      </c>
      <c r="B130" s="33">
        <v>2019</v>
      </c>
    </row>
    <row r="131" spans="1:2" x14ac:dyDescent="0.2">
      <c r="A131" s="37" t="s">
        <v>29</v>
      </c>
      <c r="B131" s="33">
        <v>2019</v>
      </c>
    </row>
    <row r="132" spans="1:2" x14ac:dyDescent="0.2">
      <c r="A132" s="37" t="s">
        <v>25</v>
      </c>
      <c r="B132" s="33">
        <v>2019</v>
      </c>
    </row>
    <row r="133" spans="1:2" x14ac:dyDescent="0.2">
      <c r="A133" s="37" t="s">
        <v>28</v>
      </c>
      <c r="B133" s="33">
        <v>2019</v>
      </c>
    </row>
    <row r="134" spans="1:2" x14ac:dyDescent="0.2">
      <c r="A134" s="37" t="s">
        <v>30</v>
      </c>
      <c r="B134" s="33">
        <v>2019</v>
      </c>
    </row>
    <row r="135" spans="1:2" x14ac:dyDescent="0.2">
      <c r="A135" s="37" t="s">
        <v>31</v>
      </c>
      <c r="B135" s="33">
        <v>2019</v>
      </c>
    </row>
    <row r="136" spans="1:2" x14ac:dyDescent="0.2">
      <c r="A136" s="37" t="s">
        <v>33</v>
      </c>
      <c r="B136" s="33">
        <v>2019</v>
      </c>
    </row>
    <row r="137" spans="1:2" x14ac:dyDescent="0.2">
      <c r="A137" s="37" t="s">
        <v>32</v>
      </c>
      <c r="B137" s="33">
        <v>2019</v>
      </c>
    </row>
    <row r="138" spans="1:2" x14ac:dyDescent="0.2">
      <c r="A138" s="34" t="s">
        <v>2</v>
      </c>
      <c r="B138" s="35">
        <v>2018</v>
      </c>
    </row>
    <row r="139" spans="1:2" x14ac:dyDescent="0.2">
      <c r="A139" s="32" t="s">
        <v>3</v>
      </c>
      <c r="B139" s="33">
        <v>2018</v>
      </c>
    </row>
    <row r="140" spans="1:2" x14ac:dyDescent="0.2">
      <c r="A140" s="32" t="s">
        <v>4</v>
      </c>
      <c r="B140" s="33">
        <v>2018</v>
      </c>
    </row>
    <row r="141" spans="1:2" x14ac:dyDescent="0.2">
      <c r="A141" s="32" t="s">
        <v>5</v>
      </c>
      <c r="B141" s="33">
        <v>2018</v>
      </c>
    </row>
    <row r="142" spans="1:2" x14ac:dyDescent="0.2">
      <c r="A142" s="32" t="s">
        <v>7</v>
      </c>
      <c r="B142" s="33">
        <v>2018</v>
      </c>
    </row>
    <row r="143" spans="1:2" x14ac:dyDescent="0.2">
      <c r="A143" s="32" t="s">
        <v>8</v>
      </c>
      <c r="B143" s="33">
        <v>2018</v>
      </c>
    </row>
    <row r="144" spans="1:2" x14ac:dyDescent="0.2">
      <c r="A144" s="32" t="s">
        <v>9</v>
      </c>
      <c r="B144" s="33">
        <v>2018</v>
      </c>
    </row>
    <row r="145" spans="1:2" x14ac:dyDescent="0.2">
      <c r="A145" s="32" t="s">
        <v>10</v>
      </c>
      <c r="B145" s="33">
        <v>2018</v>
      </c>
    </row>
    <row r="146" spans="1:2" x14ac:dyDescent="0.2">
      <c r="A146" s="32" t="s">
        <v>42</v>
      </c>
      <c r="B146" s="33">
        <v>2018</v>
      </c>
    </row>
    <row r="147" spans="1:2" x14ac:dyDescent="0.2">
      <c r="A147" s="32" t="s">
        <v>6</v>
      </c>
      <c r="B147" s="33">
        <v>2018</v>
      </c>
    </row>
    <row r="148" spans="1:2" x14ac:dyDescent="0.2">
      <c r="A148" s="32" t="s">
        <v>11</v>
      </c>
      <c r="B148" s="33">
        <v>2018</v>
      </c>
    </row>
    <row r="149" spans="1:2" x14ac:dyDescent="0.2">
      <c r="A149" s="32" t="s">
        <v>12</v>
      </c>
      <c r="B149" s="33">
        <v>2018</v>
      </c>
    </row>
    <row r="150" spans="1:2" x14ac:dyDescent="0.2">
      <c r="A150" s="32" t="s">
        <v>14</v>
      </c>
      <c r="B150" s="33">
        <v>2018</v>
      </c>
    </row>
    <row r="151" spans="1:2" x14ac:dyDescent="0.2">
      <c r="A151" s="32" t="s">
        <v>43</v>
      </c>
      <c r="B151" s="33">
        <v>2018</v>
      </c>
    </row>
    <row r="152" spans="1:2" x14ac:dyDescent="0.2">
      <c r="A152" s="32" t="s">
        <v>15</v>
      </c>
      <c r="B152" s="33">
        <v>2018</v>
      </c>
    </row>
    <row r="153" spans="1:2" x14ac:dyDescent="0.2">
      <c r="A153" s="32" t="s">
        <v>13</v>
      </c>
      <c r="B153" s="33">
        <v>2018</v>
      </c>
    </row>
    <row r="154" spans="1:2" x14ac:dyDescent="0.2">
      <c r="A154" s="32" t="s">
        <v>16</v>
      </c>
      <c r="B154" s="33">
        <v>2018</v>
      </c>
    </row>
    <row r="155" spans="1:2" x14ac:dyDescent="0.2">
      <c r="A155" s="32" t="s">
        <v>17</v>
      </c>
      <c r="B155" s="33">
        <v>2018</v>
      </c>
    </row>
    <row r="156" spans="1:2" x14ac:dyDescent="0.2">
      <c r="A156" s="32" t="s">
        <v>18</v>
      </c>
      <c r="B156" s="33">
        <v>2018</v>
      </c>
    </row>
    <row r="157" spans="1:2" x14ac:dyDescent="0.2">
      <c r="A157" s="32" t="s">
        <v>19</v>
      </c>
      <c r="B157" s="33">
        <v>2018</v>
      </c>
    </row>
    <row r="158" spans="1:2" x14ac:dyDescent="0.2">
      <c r="A158" s="32" t="s">
        <v>20</v>
      </c>
      <c r="B158" s="33">
        <v>2018</v>
      </c>
    </row>
    <row r="159" spans="1:2" x14ac:dyDescent="0.2">
      <c r="A159" s="32" t="s">
        <v>21</v>
      </c>
      <c r="B159" s="33">
        <v>2018</v>
      </c>
    </row>
    <row r="160" spans="1:2" x14ac:dyDescent="0.2">
      <c r="A160" s="32" t="s">
        <v>22</v>
      </c>
      <c r="B160" s="33">
        <v>2018</v>
      </c>
    </row>
    <row r="161" spans="1:2" x14ac:dyDescent="0.2">
      <c r="A161" s="32" t="s">
        <v>23</v>
      </c>
      <c r="B161" s="33">
        <v>2018</v>
      </c>
    </row>
    <row r="162" spans="1:2" x14ac:dyDescent="0.2">
      <c r="A162" s="32" t="s">
        <v>24</v>
      </c>
      <c r="B162" s="33">
        <v>2018</v>
      </c>
    </row>
    <row r="163" spans="1:2" x14ac:dyDescent="0.2">
      <c r="A163" s="32" t="s">
        <v>26</v>
      </c>
      <c r="B163" s="33">
        <v>2018</v>
      </c>
    </row>
    <row r="164" spans="1:2" x14ac:dyDescent="0.2">
      <c r="A164" s="32" t="s">
        <v>27</v>
      </c>
      <c r="B164" s="33">
        <v>2018</v>
      </c>
    </row>
    <row r="165" spans="1:2" x14ac:dyDescent="0.2">
      <c r="A165" s="32" t="s">
        <v>29</v>
      </c>
      <c r="B165" s="33">
        <v>2018</v>
      </c>
    </row>
    <row r="166" spans="1:2" x14ac:dyDescent="0.2">
      <c r="A166" s="32" t="s">
        <v>25</v>
      </c>
      <c r="B166" s="33">
        <v>2018</v>
      </c>
    </row>
    <row r="167" spans="1:2" x14ac:dyDescent="0.2">
      <c r="A167" s="32" t="s">
        <v>28</v>
      </c>
      <c r="B167" s="33">
        <v>2018</v>
      </c>
    </row>
    <row r="168" spans="1:2" x14ac:dyDescent="0.2">
      <c r="A168" s="32" t="s">
        <v>30</v>
      </c>
      <c r="B168" s="33">
        <v>2018</v>
      </c>
    </row>
    <row r="169" spans="1:2" x14ac:dyDescent="0.2">
      <c r="A169" s="32" t="s">
        <v>31</v>
      </c>
      <c r="B169" s="33">
        <v>2018</v>
      </c>
    </row>
    <row r="170" spans="1:2" x14ac:dyDescent="0.2">
      <c r="A170" s="32" t="s">
        <v>33</v>
      </c>
      <c r="B170" s="33">
        <v>2018</v>
      </c>
    </row>
    <row r="171" spans="1:2" x14ac:dyDescent="0.2">
      <c r="A171" s="32" t="s">
        <v>32</v>
      </c>
      <c r="B171" s="33">
        <v>2018</v>
      </c>
    </row>
    <row r="172" spans="1:2" x14ac:dyDescent="0.2">
      <c r="A172" s="34" t="s">
        <v>2</v>
      </c>
      <c r="B172" s="35">
        <v>2017</v>
      </c>
    </row>
    <row r="173" spans="1:2" x14ac:dyDescent="0.2">
      <c r="A173" s="32" t="s">
        <v>3</v>
      </c>
      <c r="B173" s="33">
        <v>2017</v>
      </c>
    </row>
    <row r="174" spans="1:2" x14ac:dyDescent="0.2">
      <c r="A174" s="32" t="s">
        <v>4</v>
      </c>
      <c r="B174" s="33">
        <v>2017</v>
      </c>
    </row>
    <row r="175" spans="1:2" x14ac:dyDescent="0.2">
      <c r="A175" s="32" t="s">
        <v>5</v>
      </c>
      <c r="B175" s="33">
        <v>2017</v>
      </c>
    </row>
    <row r="176" spans="1:2" x14ac:dyDescent="0.2">
      <c r="A176" s="32" t="s">
        <v>7</v>
      </c>
      <c r="B176" s="33">
        <v>2017</v>
      </c>
    </row>
    <row r="177" spans="1:2" x14ac:dyDescent="0.2">
      <c r="A177" s="32" t="s">
        <v>8</v>
      </c>
      <c r="B177" s="33">
        <v>2017</v>
      </c>
    </row>
    <row r="178" spans="1:2" x14ac:dyDescent="0.2">
      <c r="A178" s="32" t="s">
        <v>9</v>
      </c>
      <c r="B178" s="33">
        <v>2017</v>
      </c>
    </row>
    <row r="179" spans="1:2" x14ac:dyDescent="0.2">
      <c r="A179" s="32" t="s">
        <v>10</v>
      </c>
      <c r="B179" s="33">
        <v>2017</v>
      </c>
    </row>
    <row r="180" spans="1:2" x14ac:dyDescent="0.2">
      <c r="A180" s="32" t="s">
        <v>42</v>
      </c>
      <c r="B180" s="33">
        <v>2017</v>
      </c>
    </row>
    <row r="181" spans="1:2" x14ac:dyDescent="0.2">
      <c r="A181" s="32" t="s">
        <v>6</v>
      </c>
      <c r="B181" s="33">
        <v>2017</v>
      </c>
    </row>
    <row r="182" spans="1:2" x14ac:dyDescent="0.2">
      <c r="A182" s="32" t="s">
        <v>11</v>
      </c>
      <c r="B182" s="33">
        <v>2017</v>
      </c>
    </row>
    <row r="183" spans="1:2" x14ac:dyDescent="0.2">
      <c r="A183" s="32" t="s">
        <v>12</v>
      </c>
      <c r="B183" s="33">
        <v>2017</v>
      </c>
    </row>
    <row r="184" spans="1:2" x14ac:dyDescent="0.2">
      <c r="A184" s="32" t="s">
        <v>14</v>
      </c>
      <c r="B184" s="33">
        <v>2017</v>
      </c>
    </row>
    <row r="185" spans="1:2" x14ac:dyDescent="0.2">
      <c r="A185" s="32" t="s">
        <v>44</v>
      </c>
      <c r="B185" s="33">
        <v>2017</v>
      </c>
    </row>
    <row r="186" spans="1:2" x14ac:dyDescent="0.2">
      <c r="A186" s="32" t="s">
        <v>15</v>
      </c>
      <c r="B186" s="33">
        <v>2017</v>
      </c>
    </row>
    <row r="187" spans="1:2" x14ac:dyDescent="0.2">
      <c r="A187" s="32" t="s">
        <v>13</v>
      </c>
      <c r="B187" s="33">
        <v>2017</v>
      </c>
    </row>
    <row r="188" spans="1:2" x14ac:dyDescent="0.2">
      <c r="A188" s="32" t="s">
        <v>16</v>
      </c>
      <c r="B188" s="33">
        <v>2017</v>
      </c>
    </row>
    <row r="189" spans="1:2" x14ac:dyDescent="0.2">
      <c r="A189" s="32" t="s">
        <v>17</v>
      </c>
      <c r="B189" s="33">
        <v>2017</v>
      </c>
    </row>
    <row r="190" spans="1:2" x14ac:dyDescent="0.2">
      <c r="A190" s="32" t="s">
        <v>18</v>
      </c>
      <c r="B190" s="33">
        <v>2017</v>
      </c>
    </row>
    <row r="191" spans="1:2" x14ac:dyDescent="0.2">
      <c r="A191" s="32" t="s">
        <v>19</v>
      </c>
      <c r="B191" s="33">
        <v>2017</v>
      </c>
    </row>
    <row r="192" spans="1:2" x14ac:dyDescent="0.2">
      <c r="A192" s="32" t="s">
        <v>20</v>
      </c>
      <c r="B192" s="33">
        <v>2017</v>
      </c>
    </row>
    <row r="193" spans="1:2" x14ac:dyDescent="0.2">
      <c r="A193" s="32" t="s">
        <v>21</v>
      </c>
      <c r="B193" s="33">
        <v>2017</v>
      </c>
    </row>
    <row r="194" spans="1:2" x14ac:dyDescent="0.2">
      <c r="A194" s="32" t="s">
        <v>22</v>
      </c>
      <c r="B194" s="33">
        <v>2017</v>
      </c>
    </row>
    <row r="195" spans="1:2" x14ac:dyDescent="0.2">
      <c r="A195" s="32" t="s">
        <v>23</v>
      </c>
      <c r="B195" s="33">
        <v>2017</v>
      </c>
    </row>
    <row r="196" spans="1:2" x14ac:dyDescent="0.2">
      <c r="A196" s="32" t="s">
        <v>24</v>
      </c>
      <c r="B196" s="33">
        <v>2017</v>
      </c>
    </row>
    <row r="197" spans="1:2" x14ac:dyDescent="0.2">
      <c r="A197" s="32" t="s">
        <v>26</v>
      </c>
      <c r="B197" s="33">
        <v>2017</v>
      </c>
    </row>
    <row r="198" spans="1:2" x14ac:dyDescent="0.2">
      <c r="A198" s="32" t="s">
        <v>27</v>
      </c>
      <c r="B198" s="33">
        <v>2017</v>
      </c>
    </row>
    <row r="199" spans="1:2" x14ac:dyDescent="0.2">
      <c r="A199" s="32" t="s">
        <v>29</v>
      </c>
      <c r="B199" s="33">
        <v>2017</v>
      </c>
    </row>
    <row r="200" spans="1:2" x14ac:dyDescent="0.2">
      <c r="A200" s="32" t="s">
        <v>25</v>
      </c>
      <c r="B200" s="33">
        <v>2017</v>
      </c>
    </row>
    <row r="201" spans="1:2" x14ac:dyDescent="0.2">
      <c r="A201" s="32" t="s">
        <v>28</v>
      </c>
      <c r="B201" s="33">
        <v>2017</v>
      </c>
    </row>
    <row r="202" spans="1:2" x14ac:dyDescent="0.2">
      <c r="A202" s="32" t="s">
        <v>30</v>
      </c>
      <c r="B202" s="33">
        <v>2017</v>
      </c>
    </row>
    <row r="203" spans="1:2" x14ac:dyDescent="0.2">
      <c r="A203" s="32" t="s">
        <v>31</v>
      </c>
      <c r="B203" s="33">
        <v>2017</v>
      </c>
    </row>
    <row r="204" spans="1:2" x14ac:dyDescent="0.2">
      <c r="A204" s="32" t="s">
        <v>33</v>
      </c>
      <c r="B204" s="33">
        <v>2017</v>
      </c>
    </row>
    <row r="205" spans="1:2" x14ac:dyDescent="0.2">
      <c r="A205" s="32" t="s">
        <v>32</v>
      </c>
      <c r="B205" s="33">
        <v>2017</v>
      </c>
    </row>
    <row r="206" spans="1:2" x14ac:dyDescent="0.2">
      <c r="A206" s="34" t="s">
        <v>2</v>
      </c>
      <c r="B206" s="35">
        <v>2016</v>
      </c>
    </row>
    <row r="207" spans="1:2" x14ac:dyDescent="0.2">
      <c r="A207" s="32" t="s">
        <v>3</v>
      </c>
      <c r="B207" s="33">
        <v>2016</v>
      </c>
    </row>
    <row r="208" spans="1:2" x14ac:dyDescent="0.2">
      <c r="A208" s="32" t="s">
        <v>4</v>
      </c>
      <c r="B208" s="33">
        <v>2016</v>
      </c>
    </row>
    <row r="209" spans="1:2" x14ac:dyDescent="0.2">
      <c r="A209" s="32" t="s">
        <v>5</v>
      </c>
      <c r="B209" s="33">
        <v>2016</v>
      </c>
    </row>
    <row r="210" spans="1:2" x14ac:dyDescent="0.2">
      <c r="A210" s="32" t="s">
        <v>7</v>
      </c>
      <c r="B210" s="33">
        <v>2016</v>
      </c>
    </row>
    <row r="211" spans="1:2" x14ac:dyDescent="0.2">
      <c r="A211" s="32" t="s">
        <v>8</v>
      </c>
      <c r="B211" s="33">
        <v>2016</v>
      </c>
    </row>
    <row r="212" spans="1:2" x14ac:dyDescent="0.2">
      <c r="A212" s="32" t="s">
        <v>9</v>
      </c>
      <c r="B212" s="33">
        <v>2016</v>
      </c>
    </row>
    <row r="213" spans="1:2" x14ac:dyDescent="0.2">
      <c r="A213" s="32" t="s">
        <v>10</v>
      </c>
      <c r="B213" s="33">
        <v>2016</v>
      </c>
    </row>
    <row r="214" spans="1:2" x14ac:dyDescent="0.2">
      <c r="A214" s="32" t="s">
        <v>42</v>
      </c>
      <c r="B214" s="33">
        <v>2016</v>
      </c>
    </row>
    <row r="215" spans="1:2" x14ac:dyDescent="0.2">
      <c r="A215" s="32" t="s">
        <v>6</v>
      </c>
      <c r="B215" s="33">
        <v>2016</v>
      </c>
    </row>
    <row r="216" spans="1:2" x14ac:dyDescent="0.2">
      <c r="A216" s="32" t="s">
        <v>11</v>
      </c>
      <c r="B216" s="33">
        <v>2016</v>
      </c>
    </row>
    <row r="217" spans="1:2" x14ac:dyDescent="0.2">
      <c r="A217" s="32" t="s">
        <v>12</v>
      </c>
      <c r="B217" s="33">
        <v>2016</v>
      </c>
    </row>
    <row r="218" spans="1:2" x14ac:dyDescent="0.2">
      <c r="A218" s="32" t="s">
        <v>14</v>
      </c>
      <c r="B218" s="33">
        <v>2016</v>
      </c>
    </row>
    <row r="219" spans="1:2" x14ac:dyDescent="0.2">
      <c r="A219" s="32" t="s">
        <v>44</v>
      </c>
      <c r="B219" s="33">
        <v>2016</v>
      </c>
    </row>
    <row r="220" spans="1:2" x14ac:dyDescent="0.2">
      <c r="A220" s="32" t="s">
        <v>15</v>
      </c>
      <c r="B220" s="33">
        <v>2016</v>
      </c>
    </row>
    <row r="221" spans="1:2" x14ac:dyDescent="0.2">
      <c r="A221" s="32" t="s">
        <v>13</v>
      </c>
      <c r="B221" s="33">
        <v>2016</v>
      </c>
    </row>
    <row r="222" spans="1:2" x14ac:dyDescent="0.2">
      <c r="A222" s="32" t="s">
        <v>16</v>
      </c>
      <c r="B222" s="33">
        <v>2016</v>
      </c>
    </row>
    <row r="223" spans="1:2" x14ac:dyDescent="0.2">
      <c r="A223" s="32" t="s">
        <v>17</v>
      </c>
      <c r="B223" s="33">
        <v>2016</v>
      </c>
    </row>
    <row r="224" spans="1:2" x14ac:dyDescent="0.2">
      <c r="A224" s="32" t="s">
        <v>18</v>
      </c>
      <c r="B224" s="33">
        <v>2016</v>
      </c>
    </row>
    <row r="225" spans="1:2" x14ac:dyDescent="0.2">
      <c r="A225" s="32" t="s">
        <v>19</v>
      </c>
      <c r="B225" s="33">
        <v>2016</v>
      </c>
    </row>
    <row r="226" spans="1:2" x14ac:dyDescent="0.2">
      <c r="A226" s="32" t="s">
        <v>20</v>
      </c>
      <c r="B226" s="33">
        <v>2016</v>
      </c>
    </row>
    <row r="227" spans="1:2" x14ac:dyDescent="0.2">
      <c r="A227" s="32" t="s">
        <v>21</v>
      </c>
      <c r="B227" s="33">
        <v>2016</v>
      </c>
    </row>
    <row r="228" spans="1:2" x14ac:dyDescent="0.2">
      <c r="A228" s="32" t="s">
        <v>22</v>
      </c>
      <c r="B228" s="33">
        <v>2016</v>
      </c>
    </row>
    <row r="229" spans="1:2" x14ac:dyDescent="0.2">
      <c r="A229" s="32" t="s">
        <v>23</v>
      </c>
      <c r="B229" s="33">
        <v>2016</v>
      </c>
    </row>
    <row r="230" spans="1:2" x14ac:dyDescent="0.2">
      <c r="A230" s="32" t="s">
        <v>24</v>
      </c>
      <c r="B230" s="33">
        <v>2016</v>
      </c>
    </row>
    <row r="231" spans="1:2" x14ac:dyDescent="0.2">
      <c r="A231" s="32" t="s">
        <v>26</v>
      </c>
      <c r="B231" s="33">
        <v>2016</v>
      </c>
    </row>
    <row r="232" spans="1:2" x14ac:dyDescent="0.2">
      <c r="A232" s="32" t="s">
        <v>27</v>
      </c>
      <c r="B232" s="33">
        <v>2016</v>
      </c>
    </row>
    <row r="233" spans="1:2" x14ac:dyDescent="0.2">
      <c r="A233" s="32" t="s">
        <v>29</v>
      </c>
      <c r="B233" s="33">
        <v>2016</v>
      </c>
    </row>
    <row r="234" spans="1:2" x14ac:dyDescent="0.2">
      <c r="A234" s="32" t="s">
        <v>25</v>
      </c>
      <c r="B234" s="33">
        <v>2016</v>
      </c>
    </row>
    <row r="235" spans="1:2" x14ac:dyDescent="0.2">
      <c r="A235" s="32" t="s">
        <v>28</v>
      </c>
      <c r="B235" s="33">
        <v>2016</v>
      </c>
    </row>
    <row r="236" spans="1:2" x14ac:dyDescent="0.2">
      <c r="A236" s="32" t="s">
        <v>30</v>
      </c>
      <c r="B236" s="33">
        <v>2016</v>
      </c>
    </row>
    <row r="237" spans="1:2" x14ac:dyDescent="0.2">
      <c r="A237" s="32" t="s">
        <v>31</v>
      </c>
      <c r="B237" s="33">
        <v>2016</v>
      </c>
    </row>
    <row r="238" spans="1:2" x14ac:dyDescent="0.2">
      <c r="A238" s="32" t="s">
        <v>33</v>
      </c>
      <c r="B238" s="33">
        <v>2016</v>
      </c>
    </row>
    <row r="239" spans="1:2" x14ac:dyDescent="0.2">
      <c r="A239" s="32" t="s">
        <v>32</v>
      </c>
      <c r="B239" s="33">
        <v>2016</v>
      </c>
    </row>
    <row r="240" spans="1:2" x14ac:dyDescent="0.2">
      <c r="A240" s="38"/>
      <c r="B240" s="39"/>
    </row>
    <row r="241" spans="1:2" x14ac:dyDescent="0.2">
      <c r="A241" s="38"/>
      <c r="B241" s="39"/>
    </row>
    <row r="242" spans="1:2" x14ac:dyDescent="0.2">
      <c r="A242" s="38"/>
      <c r="B242" s="39"/>
    </row>
    <row r="243" spans="1:2" x14ac:dyDescent="0.2">
      <c r="A243" s="38"/>
      <c r="B243" s="39"/>
    </row>
    <row r="244" spans="1:2" x14ac:dyDescent="0.2">
      <c r="A244" s="39"/>
      <c r="B244" s="39"/>
    </row>
    <row r="245" spans="1:2" x14ac:dyDescent="0.2">
      <c r="A245" s="39"/>
      <c r="B245" s="39"/>
    </row>
    <row r="246" spans="1:2" x14ac:dyDescent="0.2">
      <c r="A246" s="39"/>
      <c r="B246" s="39"/>
    </row>
    <row r="247" spans="1:2" x14ac:dyDescent="0.2">
      <c r="A247" s="39"/>
      <c r="B247" s="39"/>
    </row>
    <row r="248" spans="1:2" x14ac:dyDescent="0.2">
      <c r="A248" s="39"/>
      <c r="B248" s="39"/>
    </row>
    <row r="249" spans="1:2" x14ac:dyDescent="0.2">
      <c r="A249" s="39"/>
      <c r="B249" s="39"/>
    </row>
    <row r="250" spans="1:2" x14ac:dyDescent="0.2">
      <c r="A250" s="39"/>
      <c r="B250" s="39"/>
    </row>
    <row r="251" spans="1:2" x14ac:dyDescent="0.2">
      <c r="A251" s="39"/>
      <c r="B251" s="39"/>
    </row>
    <row r="252" spans="1:2" x14ac:dyDescent="0.2">
      <c r="A252" s="39"/>
      <c r="B252" s="39"/>
    </row>
    <row r="253" spans="1:2" x14ac:dyDescent="0.2">
      <c r="A253" s="39"/>
      <c r="B253" s="39"/>
    </row>
    <row r="254" spans="1:2" x14ac:dyDescent="0.2">
      <c r="A254" s="39"/>
      <c r="B254" s="39"/>
    </row>
    <row r="255" spans="1:2" x14ac:dyDescent="0.2">
      <c r="A255" s="39"/>
      <c r="B255" s="39"/>
    </row>
    <row r="256" spans="1:2" x14ac:dyDescent="0.2">
      <c r="A256" s="39"/>
      <c r="B256" s="39"/>
    </row>
    <row r="257" spans="1:2" x14ac:dyDescent="0.2">
      <c r="A257" s="39"/>
      <c r="B257" s="39"/>
    </row>
    <row r="258" spans="1:2" x14ac:dyDescent="0.2">
      <c r="A258" s="39"/>
      <c r="B258" s="39"/>
    </row>
    <row r="259" spans="1:2" x14ac:dyDescent="0.2">
      <c r="A259" s="39"/>
      <c r="B259" s="39"/>
    </row>
    <row r="260" spans="1:2" x14ac:dyDescent="0.2">
      <c r="A260" s="39"/>
      <c r="B260" s="39"/>
    </row>
    <row r="261" spans="1:2" x14ac:dyDescent="0.2">
      <c r="A261" s="39"/>
      <c r="B261" s="39"/>
    </row>
    <row r="262" spans="1:2" x14ac:dyDescent="0.2">
      <c r="A262" s="39"/>
      <c r="B262" s="39"/>
    </row>
    <row r="263" spans="1:2" x14ac:dyDescent="0.2">
      <c r="A263" s="39"/>
      <c r="B263" s="39"/>
    </row>
    <row r="264" spans="1:2" x14ac:dyDescent="0.2">
      <c r="A264" s="39"/>
      <c r="B264" s="39"/>
    </row>
    <row r="265" spans="1:2" x14ac:dyDescent="0.2">
      <c r="A265" s="39"/>
      <c r="B265" s="39"/>
    </row>
    <row r="266" spans="1:2" x14ac:dyDescent="0.2">
      <c r="A266" s="39"/>
      <c r="B266" s="39"/>
    </row>
    <row r="267" spans="1:2" x14ac:dyDescent="0.2">
      <c r="A267" s="39"/>
      <c r="B267" s="39"/>
    </row>
    <row r="268" spans="1:2" x14ac:dyDescent="0.2">
      <c r="A268" s="39"/>
      <c r="B268" s="39"/>
    </row>
    <row r="269" spans="1:2" x14ac:dyDescent="0.2">
      <c r="A269" s="39"/>
      <c r="B269" s="39"/>
    </row>
    <row r="270" spans="1:2" x14ac:dyDescent="0.2">
      <c r="A270" s="39"/>
      <c r="B270" s="39"/>
    </row>
    <row r="271" spans="1:2" x14ac:dyDescent="0.2">
      <c r="A271" s="39"/>
      <c r="B271" s="39"/>
    </row>
    <row r="272" spans="1:2" x14ac:dyDescent="0.2">
      <c r="A272" s="39"/>
      <c r="B272" s="39"/>
    </row>
    <row r="273" spans="1:2" x14ac:dyDescent="0.2">
      <c r="A273" s="39"/>
      <c r="B273" s="39"/>
    </row>
    <row r="274" spans="1:2" x14ac:dyDescent="0.2">
      <c r="A274" s="39"/>
      <c r="B274" s="39"/>
    </row>
    <row r="275" spans="1:2" x14ac:dyDescent="0.2">
      <c r="A275" s="39"/>
      <c r="B275" s="39"/>
    </row>
    <row r="276" spans="1:2" x14ac:dyDescent="0.2">
      <c r="A276" s="39"/>
      <c r="B276" s="39"/>
    </row>
    <row r="277" spans="1:2" x14ac:dyDescent="0.2">
      <c r="A277" s="39"/>
      <c r="B277" s="39"/>
    </row>
    <row r="278" spans="1:2" x14ac:dyDescent="0.2">
      <c r="A278" s="39"/>
      <c r="B278" s="39"/>
    </row>
    <row r="279" spans="1:2" x14ac:dyDescent="0.2">
      <c r="A279" s="39"/>
      <c r="B279" s="39"/>
    </row>
    <row r="280" spans="1:2" x14ac:dyDescent="0.2">
      <c r="A280" s="39"/>
      <c r="B280" s="39"/>
    </row>
    <row r="281" spans="1:2" x14ac:dyDescent="0.2">
      <c r="A281" s="39"/>
      <c r="B281" s="39"/>
    </row>
    <row r="282" spans="1:2" x14ac:dyDescent="0.2">
      <c r="A282" s="39"/>
      <c r="B282" s="39"/>
    </row>
    <row r="283" spans="1:2" x14ac:dyDescent="0.2">
      <c r="A283" s="39"/>
      <c r="B283" s="39"/>
    </row>
    <row r="284" spans="1:2" x14ac:dyDescent="0.2">
      <c r="A284" s="39"/>
      <c r="B284" s="39"/>
    </row>
    <row r="285" spans="1:2" x14ac:dyDescent="0.2">
      <c r="A285" s="39"/>
      <c r="B285" s="39"/>
    </row>
    <row r="286" spans="1:2" x14ac:dyDescent="0.2">
      <c r="A286" s="39"/>
      <c r="B286" s="39"/>
    </row>
    <row r="287" spans="1:2" x14ac:dyDescent="0.2">
      <c r="A287" s="39"/>
      <c r="B287" s="39"/>
    </row>
    <row r="288" spans="1:2" x14ac:dyDescent="0.2">
      <c r="A288" s="39"/>
      <c r="B288" s="39"/>
    </row>
    <row r="289" spans="1:2" x14ac:dyDescent="0.2">
      <c r="A289" s="39"/>
      <c r="B289" s="39"/>
    </row>
    <row r="290" spans="1:2" x14ac:dyDescent="0.2">
      <c r="A290" s="39"/>
      <c r="B290" s="39"/>
    </row>
    <row r="291" spans="1:2" x14ac:dyDescent="0.2">
      <c r="A291" s="39"/>
      <c r="B291" s="39"/>
    </row>
    <row r="292" spans="1:2" x14ac:dyDescent="0.2">
      <c r="A292" s="39"/>
      <c r="B292" s="39"/>
    </row>
    <row r="293" spans="1:2" x14ac:dyDescent="0.2">
      <c r="A293" s="39"/>
      <c r="B293" s="39"/>
    </row>
    <row r="294" spans="1:2" x14ac:dyDescent="0.2">
      <c r="A294" s="39"/>
      <c r="B294" s="39"/>
    </row>
    <row r="295" spans="1:2" x14ac:dyDescent="0.2">
      <c r="A295" s="39"/>
      <c r="B295" s="39"/>
    </row>
    <row r="296" spans="1:2" x14ac:dyDescent="0.2">
      <c r="A296" s="39"/>
      <c r="B296" s="39"/>
    </row>
    <row r="297" spans="1:2" x14ac:dyDescent="0.2">
      <c r="A297" s="39"/>
      <c r="B297" s="39"/>
    </row>
    <row r="298" spans="1:2" x14ac:dyDescent="0.2">
      <c r="A298" s="39"/>
      <c r="B298" s="39"/>
    </row>
    <row r="299" spans="1:2" x14ac:dyDescent="0.2">
      <c r="A299" s="39"/>
      <c r="B299" s="39"/>
    </row>
    <row r="300" spans="1:2" x14ac:dyDescent="0.2">
      <c r="A300" s="39"/>
      <c r="B300" s="39"/>
    </row>
    <row r="301" spans="1:2" x14ac:dyDescent="0.2">
      <c r="A301" s="39"/>
      <c r="B301" s="39"/>
    </row>
    <row r="302" spans="1:2" x14ac:dyDescent="0.2">
      <c r="A302" s="39"/>
      <c r="B302" s="39"/>
    </row>
    <row r="303" spans="1:2" x14ac:dyDescent="0.2">
      <c r="A303" s="39"/>
      <c r="B303" s="39"/>
    </row>
    <row r="304" spans="1:2" x14ac:dyDescent="0.2">
      <c r="A304" s="39"/>
      <c r="B304" s="39"/>
    </row>
    <row r="305" spans="1:2" x14ac:dyDescent="0.2">
      <c r="A305" s="39"/>
      <c r="B305" s="39"/>
    </row>
    <row r="306" spans="1:2" x14ac:dyDescent="0.2">
      <c r="A306" s="39"/>
      <c r="B306" s="39"/>
    </row>
    <row r="307" spans="1:2" x14ac:dyDescent="0.2">
      <c r="A307" s="39"/>
      <c r="B307" s="39"/>
    </row>
    <row r="308" spans="1:2" x14ac:dyDescent="0.2">
      <c r="A308" s="39"/>
      <c r="B308" s="39"/>
    </row>
    <row r="309" spans="1:2" x14ac:dyDescent="0.2">
      <c r="A309" s="39"/>
      <c r="B309" s="39"/>
    </row>
    <row r="310" spans="1:2" x14ac:dyDescent="0.2">
      <c r="A310" s="39"/>
      <c r="B310" s="39"/>
    </row>
    <row r="311" spans="1:2" x14ac:dyDescent="0.2">
      <c r="A311" s="38"/>
      <c r="B311" s="39"/>
    </row>
    <row r="312" spans="1:2" x14ac:dyDescent="0.2">
      <c r="A312" s="38"/>
      <c r="B312" s="39"/>
    </row>
    <row r="313" spans="1:2" x14ac:dyDescent="0.2">
      <c r="A313" s="38"/>
      <c r="B313" s="39"/>
    </row>
    <row r="314" spans="1:2" x14ac:dyDescent="0.2">
      <c r="A314" s="38"/>
      <c r="B314" s="39"/>
    </row>
    <row r="315" spans="1:2" x14ac:dyDescent="0.2">
      <c r="A315" s="38"/>
      <c r="B315" s="39"/>
    </row>
    <row r="316" spans="1:2" x14ac:dyDescent="0.2">
      <c r="A316" s="38"/>
      <c r="B316" s="39"/>
    </row>
    <row r="317" spans="1:2" x14ac:dyDescent="0.2">
      <c r="A317" s="38"/>
      <c r="B317" s="39"/>
    </row>
    <row r="318" spans="1:2" x14ac:dyDescent="0.2">
      <c r="A318" s="38"/>
      <c r="B318" s="39"/>
    </row>
    <row r="319" spans="1:2" x14ac:dyDescent="0.2">
      <c r="A319" s="38"/>
      <c r="B319" s="39"/>
    </row>
    <row r="320" spans="1:2" x14ac:dyDescent="0.2">
      <c r="A320" s="38"/>
      <c r="B320" s="39"/>
    </row>
    <row r="321" spans="1:2" x14ac:dyDescent="0.2">
      <c r="A321" s="38"/>
      <c r="B321" s="39"/>
    </row>
    <row r="322" spans="1:2" x14ac:dyDescent="0.2">
      <c r="A322" s="38"/>
      <c r="B322" s="39"/>
    </row>
    <row r="323" spans="1:2" x14ac:dyDescent="0.2">
      <c r="A323" s="38"/>
      <c r="B323" s="39"/>
    </row>
    <row r="324" spans="1:2" x14ac:dyDescent="0.2">
      <c r="A324" s="38"/>
      <c r="B324" s="39"/>
    </row>
    <row r="325" spans="1:2" x14ac:dyDescent="0.2">
      <c r="A325" s="38"/>
      <c r="B325" s="39"/>
    </row>
    <row r="326" spans="1:2" x14ac:dyDescent="0.2">
      <c r="A326" s="38"/>
      <c r="B326" s="39"/>
    </row>
    <row r="327" spans="1:2" x14ac:dyDescent="0.2">
      <c r="A327" s="38"/>
      <c r="B327" s="39"/>
    </row>
    <row r="328" spans="1:2" x14ac:dyDescent="0.2">
      <c r="A328" s="38"/>
      <c r="B328" s="39"/>
    </row>
    <row r="329" spans="1:2" x14ac:dyDescent="0.2">
      <c r="A329" s="38"/>
      <c r="B329" s="39"/>
    </row>
    <row r="330" spans="1:2" x14ac:dyDescent="0.2">
      <c r="A330" s="38"/>
      <c r="B330" s="39"/>
    </row>
    <row r="331" spans="1:2" x14ac:dyDescent="0.2">
      <c r="A331" s="38"/>
      <c r="B331" s="39"/>
    </row>
    <row r="332" spans="1:2" x14ac:dyDescent="0.2">
      <c r="A332" s="38"/>
      <c r="B332" s="39"/>
    </row>
    <row r="333" spans="1:2" x14ac:dyDescent="0.2">
      <c r="A333" s="38"/>
      <c r="B333" s="39"/>
    </row>
    <row r="334" spans="1:2" x14ac:dyDescent="0.2">
      <c r="A334" s="38"/>
      <c r="B334" s="39"/>
    </row>
    <row r="335" spans="1:2" x14ac:dyDescent="0.2">
      <c r="A335" s="38"/>
      <c r="B335" s="39"/>
    </row>
    <row r="336" spans="1:2" x14ac:dyDescent="0.2">
      <c r="A336" s="38"/>
      <c r="B336" s="39"/>
    </row>
    <row r="337" spans="1:2" x14ac:dyDescent="0.2">
      <c r="A337" s="38"/>
      <c r="B337" s="39"/>
    </row>
    <row r="338" spans="1:2" x14ac:dyDescent="0.2">
      <c r="A338" s="38"/>
      <c r="B338" s="39"/>
    </row>
    <row r="339" spans="1:2" x14ac:dyDescent="0.2">
      <c r="A339" s="38"/>
      <c r="B339" s="39"/>
    </row>
    <row r="340" spans="1:2" x14ac:dyDescent="0.2">
      <c r="A340" s="38"/>
      <c r="B340" s="39"/>
    </row>
    <row r="341" spans="1:2" x14ac:dyDescent="0.2">
      <c r="A341" s="38"/>
      <c r="B341" s="39"/>
    </row>
    <row r="342" spans="1:2" x14ac:dyDescent="0.2">
      <c r="A342" s="38"/>
      <c r="B342" s="39"/>
    </row>
    <row r="343" spans="1:2" x14ac:dyDescent="0.2">
      <c r="A343" s="38"/>
      <c r="B343" s="39"/>
    </row>
    <row r="344" spans="1:2" x14ac:dyDescent="0.2">
      <c r="A344" s="38"/>
      <c r="B344" s="39"/>
    </row>
    <row r="345" spans="1:2" x14ac:dyDescent="0.2">
      <c r="A345" s="39"/>
      <c r="B345" s="39"/>
    </row>
    <row r="346" spans="1:2" x14ac:dyDescent="0.2">
      <c r="A346" s="40"/>
      <c r="B346" s="41"/>
    </row>
    <row r="347" spans="1:2" x14ac:dyDescent="0.2">
      <c r="A347" s="38"/>
      <c r="B347" s="39"/>
    </row>
    <row r="348" spans="1:2" x14ac:dyDescent="0.2">
      <c r="A348" s="38"/>
      <c r="B348" s="39"/>
    </row>
    <row r="349" spans="1:2" x14ac:dyDescent="0.2">
      <c r="A349" s="38"/>
      <c r="B349" s="39"/>
    </row>
    <row r="350" spans="1:2" x14ac:dyDescent="0.2">
      <c r="A350" s="38"/>
      <c r="B350" s="39"/>
    </row>
    <row r="351" spans="1:2" x14ac:dyDescent="0.2">
      <c r="A351" s="38"/>
      <c r="B351" s="39"/>
    </row>
    <row r="352" spans="1:2" x14ac:dyDescent="0.2">
      <c r="A352" s="38"/>
      <c r="B352" s="39"/>
    </row>
    <row r="353" spans="1:2" x14ac:dyDescent="0.2">
      <c r="A353" s="38"/>
      <c r="B353" s="39"/>
    </row>
    <row r="354" spans="1:2" x14ac:dyDescent="0.2">
      <c r="A354" s="38"/>
      <c r="B354" s="39"/>
    </row>
    <row r="355" spans="1:2" x14ac:dyDescent="0.2">
      <c r="A355" s="38"/>
      <c r="B355" s="39"/>
    </row>
    <row r="356" spans="1:2" x14ac:dyDescent="0.2">
      <c r="A356" s="38"/>
      <c r="B356" s="39"/>
    </row>
    <row r="357" spans="1:2" x14ac:dyDescent="0.2">
      <c r="A357" s="38"/>
      <c r="B357" s="39"/>
    </row>
    <row r="358" spans="1:2" x14ac:dyDescent="0.2">
      <c r="A358" s="38"/>
      <c r="B358" s="39"/>
    </row>
    <row r="359" spans="1:2" x14ac:dyDescent="0.2">
      <c r="A359" s="38"/>
      <c r="B359" s="39"/>
    </row>
    <row r="360" spans="1:2" x14ac:dyDescent="0.2">
      <c r="A360" s="38"/>
      <c r="B360" s="39"/>
    </row>
    <row r="361" spans="1:2" x14ac:dyDescent="0.2">
      <c r="A361" s="38"/>
      <c r="B361" s="39"/>
    </row>
    <row r="362" spans="1:2" x14ac:dyDescent="0.2">
      <c r="A362" s="38"/>
      <c r="B362" s="39"/>
    </row>
    <row r="363" spans="1:2" x14ac:dyDescent="0.2">
      <c r="A363" s="38"/>
      <c r="B363" s="39"/>
    </row>
    <row r="364" spans="1:2" x14ac:dyDescent="0.2">
      <c r="A364" s="38"/>
      <c r="B364" s="39"/>
    </row>
    <row r="365" spans="1:2" x14ac:dyDescent="0.2">
      <c r="A365" s="38"/>
      <c r="B365" s="39"/>
    </row>
    <row r="366" spans="1:2" x14ac:dyDescent="0.2">
      <c r="A366" s="38"/>
      <c r="B366" s="39"/>
    </row>
    <row r="367" spans="1:2" x14ac:dyDescent="0.2">
      <c r="A367" s="38"/>
      <c r="B367" s="39"/>
    </row>
    <row r="368" spans="1:2" x14ac:dyDescent="0.2">
      <c r="A368" s="38"/>
      <c r="B368" s="39"/>
    </row>
    <row r="369" spans="1:2" x14ac:dyDescent="0.2">
      <c r="A369" s="38"/>
      <c r="B369" s="39"/>
    </row>
    <row r="370" spans="1:2" x14ac:dyDescent="0.2">
      <c r="A370" s="38"/>
      <c r="B370" s="39"/>
    </row>
    <row r="371" spans="1:2" x14ac:dyDescent="0.2">
      <c r="A371" s="38"/>
      <c r="B371" s="39"/>
    </row>
    <row r="372" spans="1:2" x14ac:dyDescent="0.2">
      <c r="A372" s="38"/>
      <c r="B372" s="39"/>
    </row>
    <row r="373" spans="1:2" x14ac:dyDescent="0.2">
      <c r="A373" s="38"/>
      <c r="B373" s="39"/>
    </row>
    <row r="374" spans="1:2" x14ac:dyDescent="0.2">
      <c r="A374" s="38"/>
      <c r="B374" s="39"/>
    </row>
    <row r="375" spans="1:2" x14ac:dyDescent="0.2">
      <c r="A375" s="38"/>
      <c r="B375" s="39"/>
    </row>
    <row r="376" spans="1:2" x14ac:dyDescent="0.2">
      <c r="A376" s="38"/>
      <c r="B376" s="39"/>
    </row>
    <row r="377" spans="1:2" x14ac:dyDescent="0.2">
      <c r="A377" s="38"/>
      <c r="B377" s="39"/>
    </row>
    <row r="378" spans="1:2" x14ac:dyDescent="0.2">
      <c r="A378" s="38"/>
      <c r="B378" s="39"/>
    </row>
    <row r="379" spans="1:2" x14ac:dyDescent="0.2">
      <c r="A379" s="38"/>
      <c r="B379" s="39"/>
    </row>
    <row r="380" spans="1:2" x14ac:dyDescent="0.2">
      <c r="A380" s="39"/>
      <c r="B380" s="39"/>
    </row>
    <row r="381" spans="1:2" x14ac:dyDescent="0.2">
      <c r="A381" s="39"/>
      <c r="B381" s="39"/>
    </row>
    <row r="382" spans="1:2" x14ac:dyDescent="0.2">
      <c r="A382" s="39"/>
      <c r="B382" s="39"/>
    </row>
    <row r="383" spans="1:2" x14ac:dyDescent="0.2">
      <c r="A383" s="39"/>
      <c r="B383" s="39"/>
    </row>
    <row r="384" spans="1:2" x14ac:dyDescent="0.2">
      <c r="A384" s="39"/>
      <c r="B384" s="39"/>
    </row>
    <row r="385" spans="1:2" x14ac:dyDescent="0.2">
      <c r="A385" s="39"/>
      <c r="B385" s="39"/>
    </row>
    <row r="386" spans="1:2" x14ac:dyDescent="0.2">
      <c r="A386" s="39"/>
      <c r="B386" s="39"/>
    </row>
    <row r="387" spans="1:2" x14ac:dyDescent="0.2">
      <c r="A387" s="39"/>
      <c r="B387" s="39"/>
    </row>
    <row r="388" spans="1:2" x14ac:dyDescent="0.2">
      <c r="A388" s="39"/>
      <c r="B388" s="39"/>
    </row>
    <row r="389" spans="1:2" x14ac:dyDescent="0.2">
      <c r="A389" s="39"/>
      <c r="B389" s="39"/>
    </row>
    <row r="390" spans="1:2" x14ac:dyDescent="0.2">
      <c r="A390" s="39"/>
      <c r="B390" s="39"/>
    </row>
    <row r="391" spans="1:2" x14ac:dyDescent="0.2">
      <c r="A391" s="39"/>
      <c r="B391" s="39"/>
    </row>
    <row r="392" spans="1:2" x14ac:dyDescent="0.2">
      <c r="A392" s="39"/>
      <c r="B392" s="39"/>
    </row>
    <row r="393" spans="1:2" x14ac:dyDescent="0.2">
      <c r="A393" s="39"/>
      <c r="B393" s="39"/>
    </row>
    <row r="394" spans="1:2" x14ac:dyDescent="0.2">
      <c r="A394" s="39"/>
      <c r="B394" s="39"/>
    </row>
    <row r="395" spans="1:2" x14ac:dyDescent="0.2">
      <c r="A395" s="39"/>
      <c r="B395" s="39"/>
    </row>
    <row r="396" spans="1:2" x14ac:dyDescent="0.2">
      <c r="A396" s="39"/>
      <c r="B396" s="39"/>
    </row>
    <row r="397" spans="1:2" x14ac:dyDescent="0.2">
      <c r="A397" s="39"/>
      <c r="B397" s="39"/>
    </row>
    <row r="398" spans="1:2" x14ac:dyDescent="0.2">
      <c r="A398" s="39"/>
      <c r="B398" s="39"/>
    </row>
    <row r="399" spans="1:2" x14ac:dyDescent="0.2">
      <c r="A399" s="39"/>
      <c r="B399" s="39"/>
    </row>
    <row r="400" spans="1:2" x14ac:dyDescent="0.2">
      <c r="A400" s="39"/>
      <c r="B400" s="39"/>
    </row>
    <row r="401" spans="1:2" x14ac:dyDescent="0.2">
      <c r="A401" s="39"/>
      <c r="B401" s="39"/>
    </row>
    <row r="402" spans="1:2" x14ac:dyDescent="0.2">
      <c r="A402" s="39"/>
      <c r="B402" s="39"/>
    </row>
    <row r="403" spans="1:2" x14ac:dyDescent="0.2">
      <c r="A403" s="39"/>
      <c r="B403" s="39"/>
    </row>
    <row r="404" spans="1:2" x14ac:dyDescent="0.2">
      <c r="A404" s="39"/>
      <c r="B404" s="39"/>
    </row>
    <row r="405" spans="1:2" x14ac:dyDescent="0.2">
      <c r="A405" s="39"/>
      <c r="B405" s="39"/>
    </row>
    <row r="406" spans="1:2" x14ac:dyDescent="0.2">
      <c r="A406" s="39"/>
      <c r="B406" s="39"/>
    </row>
    <row r="407" spans="1:2" x14ac:dyDescent="0.2">
      <c r="A407" s="39"/>
      <c r="B407" s="39"/>
    </row>
    <row r="408" spans="1:2" x14ac:dyDescent="0.2">
      <c r="A408" s="39"/>
      <c r="B408" s="39"/>
    </row>
    <row r="409" spans="1:2" x14ac:dyDescent="0.2">
      <c r="A409" s="39"/>
      <c r="B409" s="39"/>
    </row>
    <row r="410" spans="1:2" x14ac:dyDescent="0.2">
      <c r="A410" s="39"/>
      <c r="B410" s="39"/>
    </row>
    <row r="411" spans="1:2" x14ac:dyDescent="0.2">
      <c r="A411" s="39"/>
      <c r="B411" s="39"/>
    </row>
    <row r="412" spans="1:2" x14ac:dyDescent="0.2">
      <c r="A412" s="39"/>
      <c r="B412" s="39"/>
    </row>
    <row r="413" spans="1:2" x14ac:dyDescent="0.2">
      <c r="A413" s="39"/>
      <c r="B413" s="39"/>
    </row>
    <row r="414" spans="1:2" x14ac:dyDescent="0.2">
      <c r="A414" s="39"/>
      <c r="B414" s="39"/>
    </row>
    <row r="415" spans="1:2" x14ac:dyDescent="0.2">
      <c r="A415" s="39"/>
      <c r="B415" s="39"/>
    </row>
    <row r="416" spans="1:2" x14ac:dyDescent="0.2">
      <c r="A416" s="39"/>
      <c r="B416" s="39"/>
    </row>
    <row r="417" spans="1:2" x14ac:dyDescent="0.2">
      <c r="A417" s="39"/>
      <c r="B417" s="39"/>
    </row>
    <row r="418" spans="1:2" x14ac:dyDescent="0.2">
      <c r="A418" s="39"/>
      <c r="B418" s="39"/>
    </row>
    <row r="419" spans="1:2" x14ac:dyDescent="0.2">
      <c r="A419" s="39"/>
      <c r="B419" s="39"/>
    </row>
    <row r="420" spans="1:2" x14ac:dyDescent="0.2">
      <c r="A420" s="39"/>
      <c r="B420" s="39"/>
    </row>
    <row r="421" spans="1:2" x14ac:dyDescent="0.2">
      <c r="A421" s="39"/>
      <c r="B421" s="39"/>
    </row>
    <row r="422" spans="1:2" x14ac:dyDescent="0.2">
      <c r="A422" s="39"/>
      <c r="B422" s="39"/>
    </row>
    <row r="423" spans="1:2" x14ac:dyDescent="0.2">
      <c r="A423" s="39"/>
      <c r="B423" s="39"/>
    </row>
    <row r="424" spans="1:2" x14ac:dyDescent="0.2">
      <c r="A424" s="39"/>
      <c r="B424" s="39"/>
    </row>
    <row r="425" spans="1:2" x14ac:dyDescent="0.2">
      <c r="A425" s="39"/>
      <c r="B425" s="39"/>
    </row>
    <row r="426" spans="1:2" x14ac:dyDescent="0.2">
      <c r="A426" s="39"/>
      <c r="B426" s="39"/>
    </row>
    <row r="427" spans="1:2" x14ac:dyDescent="0.2">
      <c r="A427" s="39"/>
      <c r="B427" s="39"/>
    </row>
    <row r="428" spans="1:2" x14ac:dyDescent="0.2">
      <c r="A428" s="39"/>
      <c r="B428" s="39"/>
    </row>
    <row r="429" spans="1:2" x14ac:dyDescent="0.2">
      <c r="A429" s="39"/>
      <c r="B429" s="39"/>
    </row>
    <row r="430" spans="1:2" x14ac:dyDescent="0.2">
      <c r="A430" s="39"/>
      <c r="B430" s="39"/>
    </row>
    <row r="431" spans="1:2" x14ac:dyDescent="0.2">
      <c r="A431" s="39"/>
      <c r="B431" s="39"/>
    </row>
    <row r="432" spans="1:2" x14ac:dyDescent="0.2">
      <c r="A432" s="39"/>
      <c r="B432" s="39"/>
    </row>
    <row r="433" spans="1:2" x14ac:dyDescent="0.2">
      <c r="A433" s="39"/>
      <c r="B433" s="39"/>
    </row>
    <row r="434" spans="1:2" x14ac:dyDescent="0.2">
      <c r="A434" s="39"/>
      <c r="B434" s="39"/>
    </row>
    <row r="435" spans="1:2" x14ac:dyDescent="0.2">
      <c r="A435" s="39"/>
      <c r="B435" s="39"/>
    </row>
    <row r="436" spans="1:2" x14ac:dyDescent="0.2">
      <c r="A436" s="39"/>
      <c r="B436" s="39"/>
    </row>
    <row r="437" spans="1:2" x14ac:dyDescent="0.2">
      <c r="A437" s="39"/>
      <c r="B437" s="39"/>
    </row>
    <row r="438" spans="1:2" x14ac:dyDescent="0.2">
      <c r="A438" s="39"/>
      <c r="B438" s="39"/>
    </row>
    <row r="439" spans="1:2" x14ac:dyDescent="0.2">
      <c r="A439" s="39"/>
      <c r="B439" s="39"/>
    </row>
    <row r="440" spans="1:2" x14ac:dyDescent="0.2">
      <c r="A440" s="39"/>
      <c r="B440" s="39"/>
    </row>
    <row r="441" spans="1:2" x14ac:dyDescent="0.2">
      <c r="A441" s="39"/>
      <c r="B441" s="39"/>
    </row>
    <row r="442" spans="1:2" x14ac:dyDescent="0.2">
      <c r="A442" s="39"/>
      <c r="B442" s="39"/>
    </row>
    <row r="443" spans="1:2" x14ac:dyDescent="0.2">
      <c r="A443" s="39"/>
      <c r="B443" s="39"/>
    </row>
    <row r="444" spans="1:2" x14ac:dyDescent="0.2">
      <c r="A444" s="39"/>
      <c r="B444" s="39"/>
    </row>
    <row r="445" spans="1:2" x14ac:dyDescent="0.2">
      <c r="A445" s="39"/>
      <c r="B445" s="39"/>
    </row>
    <row r="446" spans="1:2" x14ac:dyDescent="0.2">
      <c r="A446" s="39"/>
      <c r="B446" s="39"/>
    </row>
    <row r="447" spans="1:2" x14ac:dyDescent="0.2">
      <c r="A447" s="39"/>
      <c r="B447" s="39"/>
    </row>
    <row r="448" spans="1:2" x14ac:dyDescent="0.2">
      <c r="A448" s="39"/>
      <c r="B448" s="39"/>
    </row>
    <row r="449" spans="1:2" x14ac:dyDescent="0.2">
      <c r="A449" s="39"/>
      <c r="B449" s="39"/>
    </row>
    <row r="450" spans="1:2" x14ac:dyDescent="0.2">
      <c r="A450" s="39"/>
      <c r="B450" s="39"/>
    </row>
    <row r="451" spans="1:2" x14ac:dyDescent="0.2">
      <c r="A451" s="39"/>
      <c r="B451" s="39"/>
    </row>
    <row r="452" spans="1:2" x14ac:dyDescent="0.2">
      <c r="A452" s="39"/>
      <c r="B452" s="39"/>
    </row>
    <row r="453" spans="1:2" x14ac:dyDescent="0.2">
      <c r="A453" s="39"/>
      <c r="B453" s="39"/>
    </row>
    <row r="454" spans="1:2" x14ac:dyDescent="0.2">
      <c r="A454" s="39"/>
      <c r="B454" s="39"/>
    </row>
    <row r="455" spans="1:2" x14ac:dyDescent="0.2">
      <c r="A455" s="39"/>
      <c r="B455" s="39"/>
    </row>
    <row r="456" spans="1:2" x14ac:dyDescent="0.2">
      <c r="A456" s="39"/>
      <c r="B456" s="39"/>
    </row>
    <row r="457" spans="1:2" x14ac:dyDescent="0.2">
      <c r="A457" s="39"/>
      <c r="B457" s="39"/>
    </row>
    <row r="458" spans="1:2" x14ac:dyDescent="0.2">
      <c r="A458" s="39"/>
      <c r="B458" s="39"/>
    </row>
    <row r="459" spans="1:2" x14ac:dyDescent="0.2">
      <c r="A459" s="39"/>
      <c r="B459" s="39"/>
    </row>
    <row r="460" spans="1:2" x14ac:dyDescent="0.2">
      <c r="A460" s="39"/>
      <c r="B460" s="39"/>
    </row>
    <row r="461" spans="1:2" x14ac:dyDescent="0.2">
      <c r="A461" s="39"/>
      <c r="B461" s="39"/>
    </row>
    <row r="462" spans="1:2" x14ac:dyDescent="0.2">
      <c r="A462" s="39"/>
      <c r="B462" s="39"/>
    </row>
    <row r="463" spans="1:2" x14ac:dyDescent="0.2">
      <c r="A463" s="39"/>
      <c r="B463" s="39"/>
    </row>
    <row r="464" spans="1:2" x14ac:dyDescent="0.2">
      <c r="A464" s="39"/>
      <c r="B464" s="39"/>
    </row>
    <row r="465" spans="1:2" x14ac:dyDescent="0.2">
      <c r="A465" s="39"/>
      <c r="B465" s="39"/>
    </row>
    <row r="466" spans="1:2" x14ac:dyDescent="0.2">
      <c r="A466" s="39"/>
      <c r="B466" s="39"/>
    </row>
    <row r="467" spans="1:2" x14ac:dyDescent="0.2">
      <c r="A467" s="39"/>
      <c r="B467" s="39"/>
    </row>
    <row r="468" spans="1:2" x14ac:dyDescent="0.2">
      <c r="A468" s="39"/>
      <c r="B468" s="39"/>
    </row>
    <row r="469" spans="1:2" x14ac:dyDescent="0.2">
      <c r="A469" s="39"/>
      <c r="B469" s="39"/>
    </row>
    <row r="470" spans="1:2" x14ac:dyDescent="0.2">
      <c r="A470" s="39"/>
      <c r="B470" s="39"/>
    </row>
    <row r="471" spans="1:2" x14ac:dyDescent="0.2">
      <c r="A471" s="39"/>
      <c r="B471" s="39"/>
    </row>
    <row r="472" spans="1:2" x14ac:dyDescent="0.2">
      <c r="A472" s="39"/>
      <c r="B472" s="39"/>
    </row>
    <row r="473" spans="1:2" x14ac:dyDescent="0.2">
      <c r="A473" s="39"/>
      <c r="B473" s="39"/>
    </row>
    <row r="474" spans="1:2" x14ac:dyDescent="0.2">
      <c r="A474" s="39"/>
      <c r="B474" s="39"/>
    </row>
    <row r="475" spans="1:2" x14ac:dyDescent="0.2">
      <c r="A475" s="39"/>
      <c r="B475" s="39"/>
    </row>
    <row r="476" spans="1:2" x14ac:dyDescent="0.2">
      <c r="A476" s="39"/>
      <c r="B476" s="39"/>
    </row>
    <row r="477" spans="1:2" x14ac:dyDescent="0.2">
      <c r="A477" s="39"/>
      <c r="B477" s="39"/>
    </row>
    <row r="478" spans="1:2" x14ac:dyDescent="0.2">
      <c r="A478" s="39"/>
      <c r="B478" s="39"/>
    </row>
    <row r="479" spans="1:2" x14ac:dyDescent="0.2">
      <c r="A479" s="39"/>
      <c r="B479" s="39"/>
    </row>
    <row r="480" spans="1:2" x14ac:dyDescent="0.2">
      <c r="A480" s="39"/>
      <c r="B480" s="39"/>
    </row>
    <row r="481" spans="1:2" x14ac:dyDescent="0.2">
      <c r="A481" s="39"/>
      <c r="B481" s="39"/>
    </row>
    <row r="482" spans="1:2" x14ac:dyDescent="0.2">
      <c r="A482" s="39"/>
      <c r="B482" s="39"/>
    </row>
    <row r="483" spans="1:2" x14ac:dyDescent="0.2">
      <c r="A483" s="39"/>
      <c r="B483" s="39"/>
    </row>
    <row r="484" spans="1:2" x14ac:dyDescent="0.2">
      <c r="A484" s="39"/>
      <c r="B484" s="39"/>
    </row>
    <row r="485" spans="1:2" x14ac:dyDescent="0.2">
      <c r="A485" s="39"/>
      <c r="B485" s="39"/>
    </row>
    <row r="486" spans="1:2" x14ac:dyDescent="0.2">
      <c r="A486" s="39"/>
      <c r="B486" s="39"/>
    </row>
    <row r="487" spans="1:2" x14ac:dyDescent="0.2">
      <c r="A487" s="39"/>
      <c r="B487" s="39"/>
    </row>
    <row r="488" spans="1:2" x14ac:dyDescent="0.2">
      <c r="A488" s="39"/>
      <c r="B488" s="39"/>
    </row>
    <row r="489" spans="1:2" x14ac:dyDescent="0.2">
      <c r="A489" s="39"/>
      <c r="B489" s="39"/>
    </row>
    <row r="490" spans="1:2" x14ac:dyDescent="0.2">
      <c r="A490" s="39"/>
      <c r="B490" s="39"/>
    </row>
    <row r="491" spans="1:2" x14ac:dyDescent="0.2">
      <c r="A491" s="39"/>
      <c r="B491" s="39"/>
    </row>
    <row r="492" spans="1:2" x14ac:dyDescent="0.2">
      <c r="A492" s="39"/>
      <c r="B492" s="39"/>
    </row>
    <row r="493" spans="1:2" x14ac:dyDescent="0.2">
      <c r="A493" s="39"/>
      <c r="B493" s="39"/>
    </row>
    <row r="494" spans="1:2" x14ac:dyDescent="0.2">
      <c r="A494" s="39"/>
      <c r="B494" s="39"/>
    </row>
    <row r="495" spans="1:2" x14ac:dyDescent="0.2">
      <c r="A495" s="39"/>
      <c r="B495" s="39"/>
    </row>
    <row r="496" spans="1:2" x14ac:dyDescent="0.2">
      <c r="A496" s="39"/>
      <c r="B496" s="39"/>
    </row>
    <row r="497" spans="1:2" x14ac:dyDescent="0.2">
      <c r="A497" s="39"/>
      <c r="B497" s="39"/>
    </row>
    <row r="498" spans="1:2" x14ac:dyDescent="0.2">
      <c r="A498" s="39"/>
      <c r="B498" s="39"/>
    </row>
    <row r="499" spans="1:2" x14ac:dyDescent="0.2">
      <c r="A499" s="39"/>
      <c r="B499" s="39"/>
    </row>
    <row r="500" spans="1:2" x14ac:dyDescent="0.2">
      <c r="A500" s="39"/>
      <c r="B500" s="39"/>
    </row>
    <row r="501" spans="1:2" x14ac:dyDescent="0.2">
      <c r="A501" s="39"/>
      <c r="B501" s="39"/>
    </row>
    <row r="502" spans="1:2" x14ac:dyDescent="0.2">
      <c r="A502" s="39"/>
      <c r="B502" s="39"/>
    </row>
    <row r="503" spans="1:2" x14ac:dyDescent="0.2">
      <c r="A503" s="39"/>
      <c r="B503" s="39"/>
    </row>
    <row r="504" spans="1:2" x14ac:dyDescent="0.2">
      <c r="A504" s="39"/>
      <c r="B504" s="39"/>
    </row>
    <row r="505" spans="1:2" x14ac:dyDescent="0.2">
      <c r="A505" s="39"/>
      <c r="B505" s="39"/>
    </row>
    <row r="506" spans="1:2" x14ac:dyDescent="0.2">
      <c r="A506" s="39"/>
      <c r="B506" s="39"/>
    </row>
    <row r="507" spans="1:2" x14ac:dyDescent="0.2">
      <c r="A507" s="39"/>
      <c r="B507" s="39"/>
    </row>
    <row r="508" spans="1:2" x14ac:dyDescent="0.2">
      <c r="A508" s="39"/>
      <c r="B508" s="39"/>
    </row>
    <row r="509" spans="1:2" x14ac:dyDescent="0.2">
      <c r="A509" s="39"/>
      <c r="B509" s="39"/>
    </row>
    <row r="510" spans="1:2" x14ac:dyDescent="0.2">
      <c r="A510" s="39"/>
      <c r="B510" s="39"/>
    </row>
    <row r="511" spans="1:2" x14ac:dyDescent="0.2">
      <c r="A511" s="39"/>
      <c r="B511" s="39"/>
    </row>
    <row r="512" spans="1:2" x14ac:dyDescent="0.2">
      <c r="A512" s="39"/>
      <c r="B512" s="39"/>
    </row>
    <row r="513" spans="1:2" x14ac:dyDescent="0.2">
      <c r="A513" s="39"/>
      <c r="B513" s="39"/>
    </row>
    <row r="514" spans="1:2" x14ac:dyDescent="0.2">
      <c r="A514" s="39"/>
      <c r="B514" s="39"/>
    </row>
    <row r="515" spans="1:2" x14ac:dyDescent="0.2">
      <c r="A515" s="39"/>
      <c r="B515" s="39"/>
    </row>
    <row r="516" spans="1:2" x14ac:dyDescent="0.2">
      <c r="A516" s="39"/>
      <c r="B516" s="39"/>
    </row>
    <row r="517" spans="1:2" x14ac:dyDescent="0.2">
      <c r="A517" s="39"/>
      <c r="B517" s="39"/>
    </row>
    <row r="518" spans="1:2" x14ac:dyDescent="0.2">
      <c r="A518" s="39"/>
      <c r="B518" s="39"/>
    </row>
    <row r="519" spans="1:2" x14ac:dyDescent="0.2">
      <c r="A519" s="39"/>
      <c r="B519" s="39"/>
    </row>
    <row r="520" spans="1:2" x14ac:dyDescent="0.2">
      <c r="A520" s="39"/>
      <c r="B520" s="39"/>
    </row>
    <row r="521" spans="1:2" x14ac:dyDescent="0.2">
      <c r="A521" s="39"/>
      <c r="B521" s="39"/>
    </row>
    <row r="522" spans="1:2" x14ac:dyDescent="0.2">
      <c r="A522" s="39"/>
      <c r="B522" s="39"/>
    </row>
    <row r="523" spans="1:2" x14ac:dyDescent="0.2">
      <c r="A523" s="39"/>
      <c r="B523" s="39"/>
    </row>
    <row r="524" spans="1:2" x14ac:dyDescent="0.2">
      <c r="A524" s="39"/>
      <c r="B524" s="39"/>
    </row>
    <row r="525" spans="1:2" x14ac:dyDescent="0.2">
      <c r="A525" s="39"/>
      <c r="B525" s="39"/>
    </row>
    <row r="526" spans="1:2" x14ac:dyDescent="0.2">
      <c r="A526" s="39"/>
      <c r="B526" s="39"/>
    </row>
    <row r="527" spans="1:2" x14ac:dyDescent="0.2">
      <c r="A527" s="39"/>
      <c r="B527" s="39"/>
    </row>
    <row r="528" spans="1:2" x14ac:dyDescent="0.2">
      <c r="A528" s="39"/>
      <c r="B528" s="39"/>
    </row>
    <row r="529" spans="1:2" x14ac:dyDescent="0.2">
      <c r="A529" s="39"/>
      <c r="B529" s="39"/>
    </row>
    <row r="530" spans="1:2" x14ac:dyDescent="0.2">
      <c r="A530" s="39"/>
      <c r="B530" s="39"/>
    </row>
    <row r="531" spans="1:2" x14ac:dyDescent="0.2">
      <c r="A531" s="39"/>
      <c r="B531" s="39"/>
    </row>
    <row r="532" spans="1:2" x14ac:dyDescent="0.2">
      <c r="A532" s="39"/>
      <c r="B532" s="39"/>
    </row>
    <row r="533" spans="1:2" x14ac:dyDescent="0.2">
      <c r="A533" s="39"/>
      <c r="B533" s="39"/>
    </row>
    <row r="534" spans="1:2" x14ac:dyDescent="0.2">
      <c r="A534" s="39"/>
      <c r="B534" s="39"/>
    </row>
    <row r="535" spans="1:2" x14ac:dyDescent="0.2">
      <c r="A535" s="39"/>
      <c r="B535" s="39"/>
    </row>
    <row r="536" spans="1:2" x14ac:dyDescent="0.2">
      <c r="A536" s="39"/>
      <c r="B536" s="39"/>
    </row>
    <row r="537" spans="1:2" x14ac:dyDescent="0.2">
      <c r="A537" s="39"/>
      <c r="B537" s="39"/>
    </row>
    <row r="538" spans="1:2" x14ac:dyDescent="0.2">
      <c r="A538" s="39"/>
      <c r="B538" s="39"/>
    </row>
    <row r="539" spans="1:2" x14ac:dyDescent="0.2">
      <c r="A539" s="39"/>
      <c r="B539" s="39"/>
    </row>
    <row r="540" spans="1:2" x14ac:dyDescent="0.2">
      <c r="A540" s="39"/>
      <c r="B540" s="39"/>
    </row>
    <row r="541" spans="1:2" x14ac:dyDescent="0.2">
      <c r="A541" s="39"/>
      <c r="B541" s="39"/>
    </row>
    <row r="542" spans="1:2" x14ac:dyDescent="0.2">
      <c r="A542" s="39"/>
      <c r="B542" s="39"/>
    </row>
    <row r="543" spans="1:2" x14ac:dyDescent="0.2">
      <c r="A543" s="39"/>
      <c r="B543" s="39"/>
    </row>
    <row r="544" spans="1:2" x14ac:dyDescent="0.2">
      <c r="A544" s="39"/>
      <c r="B544" s="39"/>
    </row>
    <row r="545" spans="1:2" x14ac:dyDescent="0.2">
      <c r="A545" s="39"/>
      <c r="B545" s="39"/>
    </row>
    <row r="546" spans="1:2" x14ac:dyDescent="0.2">
      <c r="A546" s="39"/>
      <c r="B546" s="39"/>
    </row>
    <row r="547" spans="1:2" x14ac:dyDescent="0.2">
      <c r="A547" s="39"/>
      <c r="B547" s="39"/>
    </row>
    <row r="548" spans="1:2" x14ac:dyDescent="0.2">
      <c r="A548" s="39"/>
      <c r="B548" s="39"/>
    </row>
    <row r="549" spans="1:2" x14ac:dyDescent="0.2">
      <c r="A549" s="39"/>
      <c r="B549" s="39"/>
    </row>
    <row r="550" spans="1:2" x14ac:dyDescent="0.2">
      <c r="A550" s="39"/>
      <c r="B550" s="39"/>
    </row>
    <row r="551" spans="1:2" x14ac:dyDescent="0.2">
      <c r="A551" s="39"/>
      <c r="B551" s="39"/>
    </row>
    <row r="552" spans="1:2" x14ac:dyDescent="0.2">
      <c r="A552" s="39"/>
      <c r="B552" s="39"/>
    </row>
    <row r="553" spans="1:2" x14ac:dyDescent="0.2">
      <c r="A553" s="39"/>
      <c r="B553" s="39"/>
    </row>
    <row r="554" spans="1:2" x14ac:dyDescent="0.2">
      <c r="A554" s="39"/>
      <c r="B554" s="39"/>
    </row>
    <row r="555" spans="1:2" x14ac:dyDescent="0.2">
      <c r="A555" s="39"/>
      <c r="B555" s="39"/>
    </row>
    <row r="556" spans="1:2" x14ac:dyDescent="0.2">
      <c r="A556" s="39"/>
      <c r="B556" s="39"/>
    </row>
    <row r="557" spans="1:2" x14ac:dyDescent="0.2">
      <c r="A557" s="39"/>
      <c r="B557" s="39"/>
    </row>
    <row r="558" spans="1:2" x14ac:dyDescent="0.2">
      <c r="A558" s="39"/>
      <c r="B558" s="39"/>
    </row>
    <row r="559" spans="1:2" x14ac:dyDescent="0.2">
      <c r="A559" s="39"/>
      <c r="B559" s="39"/>
    </row>
    <row r="560" spans="1:2" x14ac:dyDescent="0.2">
      <c r="A560" s="39"/>
      <c r="B560" s="39"/>
    </row>
    <row r="561" spans="1:2" x14ac:dyDescent="0.2">
      <c r="A561" s="39"/>
      <c r="B561" s="39"/>
    </row>
    <row r="562" spans="1:2" x14ac:dyDescent="0.2">
      <c r="A562" s="39"/>
      <c r="B562" s="39"/>
    </row>
    <row r="563" spans="1:2" x14ac:dyDescent="0.2">
      <c r="A563" s="39"/>
      <c r="B563" s="39"/>
    </row>
    <row r="564" spans="1:2" x14ac:dyDescent="0.2">
      <c r="A564" s="39"/>
      <c r="B564" s="39"/>
    </row>
    <row r="565" spans="1:2" x14ac:dyDescent="0.2">
      <c r="A565" s="39"/>
      <c r="B565" s="39"/>
    </row>
    <row r="566" spans="1:2" x14ac:dyDescent="0.2">
      <c r="A566" s="39"/>
      <c r="B566" s="39"/>
    </row>
    <row r="567" spans="1:2" x14ac:dyDescent="0.2">
      <c r="A567" s="39"/>
      <c r="B567" s="39"/>
    </row>
    <row r="568" spans="1:2" x14ac:dyDescent="0.2">
      <c r="A568" s="39"/>
      <c r="B568" s="39"/>
    </row>
    <row r="569" spans="1:2" x14ac:dyDescent="0.2">
      <c r="A569" s="39"/>
      <c r="B569" s="39"/>
    </row>
    <row r="570" spans="1:2" x14ac:dyDescent="0.2">
      <c r="A570" s="39"/>
      <c r="B570" s="39"/>
    </row>
    <row r="571" spans="1:2" x14ac:dyDescent="0.2">
      <c r="A571" s="39"/>
      <c r="B571" s="39"/>
    </row>
    <row r="572" spans="1:2" x14ac:dyDescent="0.2">
      <c r="A572" s="39"/>
      <c r="B572" s="39"/>
    </row>
    <row r="573" spans="1:2" x14ac:dyDescent="0.2">
      <c r="A573" s="39"/>
      <c r="B573" s="39"/>
    </row>
    <row r="574" spans="1:2" x14ac:dyDescent="0.2">
      <c r="A574" s="39"/>
      <c r="B574" s="39"/>
    </row>
    <row r="575" spans="1:2" x14ac:dyDescent="0.2">
      <c r="A575" s="39"/>
      <c r="B575" s="39"/>
    </row>
    <row r="576" spans="1:2" x14ac:dyDescent="0.2">
      <c r="A576" s="39"/>
      <c r="B576" s="39"/>
    </row>
    <row r="577" spans="1:2" x14ac:dyDescent="0.2">
      <c r="A577" s="39"/>
      <c r="B577" s="39"/>
    </row>
    <row r="578" spans="1:2" x14ac:dyDescent="0.2">
      <c r="A578" s="39"/>
      <c r="B578" s="39"/>
    </row>
    <row r="579" spans="1:2" x14ac:dyDescent="0.2">
      <c r="A579" s="39"/>
      <c r="B579" s="39"/>
    </row>
    <row r="580" spans="1:2" x14ac:dyDescent="0.2">
      <c r="A580" s="39"/>
      <c r="B580" s="39"/>
    </row>
    <row r="581" spans="1:2" x14ac:dyDescent="0.2">
      <c r="A581" s="39"/>
      <c r="B581" s="39"/>
    </row>
    <row r="582" spans="1:2" x14ac:dyDescent="0.2">
      <c r="A582" s="39"/>
      <c r="B582" s="39"/>
    </row>
    <row r="583" spans="1:2" x14ac:dyDescent="0.2">
      <c r="A583" s="39"/>
      <c r="B583" s="39"/>
    </row>
    <row r="584" spans="1:2" x14ac:dyDescent="0.2">
      <c r="A584" s="39"/>
      <c r="B584" s="39"/>
    </row>
    <row r="585" spans="1:2" x14ac:dyDescent="0.2">
      <c r="A585" s="39"/>
      <c r="B585" s="39"/>
    </row>
    <row r="586" spans="1:2" x14ac:dyDescent="0.2">
      <c r="A586" s="39"/>
      <c r="B586" s="39"/>
    </row>
    <row r="587" spans="1:2" x14ac:dyDescent="0.2">
      <c r="A587" s="39"/>
      <c r="B587" s="39"/>
    </row>
    <row r="588" spans="1:2" x14ac:dyDescent="0.2">
      <c r="A588" s="39"/>
      <c r="B588" s="39"/>
    </row>
    <row r="589" spans="1:2" x14ac:dyDescent="0.2">
      <c r="A589" s="39"/>
      <c r="B589" s="39"/>
    </row>
    <row r="590" spans="1:2" x14ac:dyDescent="0.2">
      <c r="A590" s="39"/>
      <c r="B590" s="39"/>
    </row>
    <row r="591" spans="1:2" x14ac:dyDescent="0.2">
      <c r="A591" s="39"/>
      <c r="B591" s="39"/>
    </row>
    <row r="592" spans="1:2" x14ac:dyDescent="0.2">
      <c r="A592" s="39"/>
      <c r="B592" s="39"/>
    </row>
    <row r="593" spans="1:2" x14ac:dyDescent="0.2">
      <c r="A593" s="39"/>
      <c r="B593" s="39"/>
    </row>
    <row r="594" spans="1:2" x14ac:dyDescent="0.2">
      <c r="A594" s="39"/>
      <c r="B594" s="39"/>
    </row>
    <row r="595" spans="1:2" x14ac:dyDescent="0.2">
      <c r="A595" s="39"/>
      <c r="B595" s="39"/>
    </row>
    <row r="596" spans="1:2" x14ac:dyDescent="0.2">
      <c r="A596" s="39"/>
      <c r="B596" s="39"/>
    </row>
    <row r="597" spans="1:2" x14ac:dyDescent="0.2">
      <c r="A597" s="39"/>
      <c r="B597" s="39"/>
    </row>
    <row r="598" spans="1:2" x14ac:dyDescent="0.2">
      <c r="A598" s="39"/>
      <c r="B598" s="39"/>
    </row>
    <row r="599" spans="1:2" x14ac:dyDescent="0.2">
      <c r="A599" s="39"/>
      <c r="B599" s="39"/>
    </row>
    <row r="600" spans="1:2" x14ac:dyDescent="0.2">
      <c r="A600" s="39"/>
      <c r="B600" s="39"/>
    </row>
    <row r="601" spans="1:2" x14ac:dyDescent="0.2">
      <c r="A601" s="39"/>
      <c r="B601" s="39"/>
    </row>
    <row r="602" spans="1:2" x14ac:dyDescent="0.2">
      <c r="A602" s="39"/>
      <c r="B602" s="39"/>
    </row>
    <row r="603" spans="1:2" x14ac:dyDescent="0.2">
      <c r="A603" s="39"/>
      <c r="B603" s="39"/>
    </row>
    <row r="604" spans="1:2" x14ac:dyDescent="0.2">
      <c r="A604" s="39"/>
      <c r="B604" s="39"/>
    </row>
    <row r="605" spans="1:2" x14ac:dyDescent="0.2">
      <c r="A605" s="39"/>
      <c r="B605" s="39"/>
    </row>
    <row r="606" spans="1:2" x14ac:dyDescent="0.2">
      <c r="A606" s="39"/>
      <c r="B606" s="39"/>
    </row>
    <row r="607" spans="1:2" x14ac:dyDescent="0.2">
      <c r="A607" s="39"/>
      <c r="B607" s="39"/>
    </row>
    <row r="608" spans="1:2" x14ac:dyDescent="0.2">
      <c r="A608" s="39"/>
      <c r="B608" s="39"/>
    </row>
    <row r="609" spans="1:2" x14ac:dyDescent="0.2">
      <c r="A609" s="39"/>
      <c r="B609" s="39"/>
    </row>
    <row r="610" spans="1:2" x14ac:dyDescent="0.2">
      <c r="A610" s="39"/>
      <c r="B610" s="39"/>
    </row>
    <row r="611" spans="1:2" x14ac:dyDescent="0.2">
      <c r="A611" s="39"/>
      <c r="B611" s="39"/>
    </row>
    <row r="612" spans="1:2" x14ac:dyDescent="0.2">
      <c r="A612" s="39"/>
      <c r="B612" s="39"/>
    </row>
    <row r="613" spans="1:2" x14ac:dyDescent="0.2">
      <c r="A613" s="39"/>
      <c r="B613" s="39"/>
    </row>
    <row r="614" spans="1:2" x14ac:dyDescent="0.2">
      <c r="A614" s="39"/>
      <c r="B614" s="39"/>
    </row>
    <row r="615" spans="1:2" x14ac:dyDescent="0.2">
      <c r="A615" s="39"/>
      <c r="B615" s="39"/>
    </row>
    <row r="616" spans="1:2" x14ac:dyDescent="0.2">
      <c r="A616" s="39"/>
      <c r="B616" s="39"/>
    </row>
    <row r="617" spans="1:2" x14ac:dyDescent="0.2">
      <c r="A617" s="39"/>
      <c r="B617" s="39"/>
    </row>
    <row r="618" spans="1:2" x14ac:dyDescent="0.2">
      <c r="A618" s="39"/>
      <c r="B618" s="39"/>
    </row>
    <row r="619" spans="1:2" x14ac:dyDescent="0.2">
      <c r="A619" s="39"/>
      <c r="B619" s="39"/>
    </row>
    <row r="620" spans="1:2" x14ac:dyDescent="0.2">
      <c r="A620" s="39"/>
      <c r="B620" s="39"/>
    </row>
    <row r="621" spans="1:2" x14ac:dyDescent="0.2">
      <c r="A621" s="39"/>
      <c r="B621" s="39"/>
    </row>
    <row r="622" spans="1:2" x14ac:dyDescent="0.2">
      <c r="A622" s="39"/>
      <c r="B622" s="39"/>
    </row>
    <row r="623" spans="1:2" x14ac:dyDescent="0.2">
      <c r="A623" s="39"/>
      <c r="B623" s="39"/>
    </row>
    <row r="624" spans="1:2" x14ac:dyDescent="0.2">
      <c r="A624" s="39"/>
      <c r="B624" s="39"/>
    </row>
    <row r="625" spans="1:2" x14ac:dyDescent="0.2">
      <c r="A625" s="39"/>
      <c r="B625" s="39"/>
    </row>
    <row r="626" spans="1:2" x14ac:dyDescent="0.2">
      <c r="A626" s="39"/>
      <c r="B626" s="39"/>
    </row>
    <row r="627" spans="1:2" x14ac:dyDescent="0.2">
      <c r="A627" s="39"/>
      <c r="B627" s="39"/>
    </row>
    <row r="628" spans="1:2" x14ac:dyDescent="0.2">
      <c r="A628" s="39"/>
      <c r="B628" s="39"/>
    </row>
    <row r="629" spans="1:2" x14ac:dyDescent="0.2">
      <c r="A629" s="39"/>
      <c r="B629" s="39"/>
    </row>
    <row r="630" spans="1:2" x14ac:dyDescent="0.2">
      <c r="A630" s="39"/>
      <c r="B630" s="39"/>
    </row>
    <row r="631" spans="1:2" x14ac:dyDescent="0.2">
      <c r="A631" s="39"/>
      <c r="B631" s="39"/>
    </row>
    <row r="632" spans="1:2" x14ac:dyDescent="0.2">
      <c r="A632" s="39"/>
      <c r="B632" s="39"/>
    </row>
    <row r="633" spans="1:2" x14ac:dyDescent="0.2">
      <c r="A633" s="39"/>
      <c r="B633" s="39"/>
    </row>
    <row r="634" spans="1:2" x14ac:dyDescent="0.2">
      <c r="A634" s="39"/>
      <c r="B634" s="39"/>
    </row>
    <row r="635" spans="1:2" x14ac:dyDescent="0.2">
      <c r="A635" s="39"/>
      <c r="B635" s="39"/>
    </row>
    <row r="636" spans="1:2" x14ac:dyDescent="0.2">
      <c r="A636" s="39"/>
      <c r="B636" s="39"/>
    </row>
    <row r="637" spans="1:2" x14ac:dyDescent="0.2">
      <c r="A637" s="39"/>
      <c r="B637" s="39"/>
    </row>
    <row r="638" spans="1:2" x14ac:dyDescent="0.2">
      <c r="A638" s="39"/>
      <c r="B638" s="39"/>
    </row>
    <row r="639" spans="1:2" x14ac:dyDescent="0.2">
      <c r="A639" s="39"/>
      <c r="B639" s="39"/>
    </row>
    <row r="640" spans="1:2" x14ac:dyDescent="0.2">
      <c r="A640" s="39"/>
      <c r="B640" s="39"/>
    </row>
    <row r="641" spans="1:2" x14ac:dyDescent="0.2">
      <c r="A641" s="39"/>
      <c r="B641" s="39"/>
    </row>
    <row r="642" spans="1:2" x14ac:dyDescent="0.2">
      <c r="A642" s="39"/>
      <c r="B642" s="39"/>
    </row>
    <row r="643" spans="1:2" x14ac:dyDescent="0.2">
      <c r="A643" s="39"/>
      <c r="B643" s="39"/>
    </row>
    <row r="644" spans="1:2" x14ac:dyDescent="0.2">
      <c r="A644" s="39"/>
      <c r="B644" s="39"/>
    </row>
    <row r="645" spans="1:2" x14ac:dyDescent="0.2">
      <c r="A645" s="39"/>
      <c r="B645" s="39"/>
    </row>
    <row r="646" spans="1:2" x14ac:dyDescent="0.2">
      <c r="A646" s="39"/>
      <c r="B646" s="39"/>
    </row>
    <row r="647" spans="1:2" x14ac:dyDescent="0.2">
      <c r="A647" s="39"/>
      <c r="B647" s="39"/>
    </row>
    <row r="648" spans="1:2" x14ac:dyDescent="0.2">
      <c r="A648" s="39"/>
      <c r="B648" s="39"/>
    </row>
    <row r="649" spans="1:2" x14ac:dyDescent="0.2">
      <c r="A649" s="39"/>
      <c r="B649" s="39"/>
    </row>
    <row r="650" spans="1:2" x14ac:dyDescent="0.2">
      <c r="A650" s="39"/>
      <c r="B650" s="39"/>
    </row>
    <row r="651" spans="1:2" x14ac:dyDescent="0.2">
      <c r="A651" s="39"/>
      <c r="B651" s="39"/>
    </row>
    <row r="652" spans="1:2" x14ac:dyDescent="0.2">
      <c r="A652" s="39"/>
      <c r="B652" s="39"/>
    </row>
    <row r="653" spans="1:2" x14ac:dyDescent="0.2">
      <c r="A653" s="39"/>
      <c r="B653" s="39"/>
    </row>
    <row r="654" spans="1:2" x14ac:dyDescent="0.2">
      <c r="A654" s="39"/>
      <c r="B654" s="39"/>
    </row>
    <row r="655" spans="1:2" x14ac:dyDescent="0.2">
      <c r="A655" s="39"/>
      <c r="B655" s="39"/>
    </row>
    <row r="656" spans="1:2" x14ac:dyDescent="0.2">
      <c r="A656" s="39"/>
      <c r="B656" s="39"/>
    </row>
    <row r="657" spans="1:2" x14ac:dyDescent="0.2">
      <c r="A657" s="39"/>
      <c r="B657" s="39"/>
    </row>
    <row r="658" spans="1:2" x14ac:dyDescent="0.2">
      <c r="A658" s="39"/>
      <c r="B658" s="39"/>
    </row>
    <row r="659" spans="1:2" x14ac:dyDescent="0.2">
      <c r="A659" s="39"/>
      <c r="B659" s="39"/>
    </row>
    <row r="660" spans="1:2" x14ac:dyDescent="0.2">
      <c r="A660" s="39"/>
      <c r="B660" s="39"/>
    </row>
    <row r="661" spans="1:2" x14ac:dyDescent="0.2">
      <c r="A661" s="39"/>
      <c r="B661" s="39"/>
    </row>
    <row r="662" spans="1:2" x14ac:dyDescent="0.2">
      <c r="A662" s="39"/>
      <c r="B662" s="39"/>
    </row>
    <row r="663" spans="1:2" x14ac:dyDescent="0.2">
      <c r="A663" s="39"/>
      <c r="B663" s="39"/>
    </row>
    <row r="664" spans="1:2" x14ac:dyDescent="0.2">
      <c r="A664" s="39"/>
      <c r="B664" s="39"/>
    </row>
    <row r="665" spans="1:2" x14ac:dyDescent="0.2">
      <c r="A665" s="39"/>
      <c r="B665" s="39"/>
    </row>
    <row r="666" spans="1:2" x14ac:dyDescent="0.2">
      <c r="A666" s="39"/>
      <c r="B666" s="39"/>
    </row>
    <row r="667" spans="1:2" x14ac:dyDescent="0.2">
      <c r="A667" s="39"/>
      <c r="B667" s="39"/>
    </row>
    <row r="668" spans="1:2" x14ac:dyDescent="0.2">
      <c r="A668" s="39"/>
      <c r="B668" s="39"/>
    </row>
    <row r="669" spans="1:2" x14ac:dyDescent="0.2">
      <c r="A669" s="39"/>
      <c r="B669" s="39"/>
    </row>
    <row r="670" spans="1:2" x14ac:dyDescent="0.2">
      <c r="A670" s="39"/>
      <c r="B670" s="39"/>
    </row>
    <row r="671" spans="1:2" x14ac:dyDescent="0.2">
      <c r="A671" s="39"/>
      <c r="B671" s="39"/>
    </row>
    <row r="672" spans="1:2" x14ac:dyDescent="0.2">
      <c r="A672" s="39"/>
      <c r="B672" s="39"/>
    </row>
    <row r="673" spans="1:2" x14ac:dyDescent="0.2">
      <c r="A673" s="39"/>
      <c r="B673" s="39"/>
    </row>
    <row r="674" spans="1:2" x14ac:dyDescent="0.2">
      <c r="A674" s="39"/>
      <c r="B674" s="39"/>
    </row>
    <row r="675" spans="1:2" x14ac:dyDescent="0.2">
      <c r="A675" s="39"/>
      <c r="B675" s="39"/>
    </row>
    <row r="676" spans="1:2" x14ac:dyDescent="0.2">
      <c r="A676" s="39"/>
      <c r="B676" s="39"/>
    </row>
    <row r="677" spans="1:2" x14ac:dyDescent="0.2">
      <c r="A677" s="39"/>
      <c r="B677" s="39"/>
    </row>
    <row r="678" spans="1:2" x14ac:dyDescent="0.2">
      <c r="A678" s="39"/>
      <c r="B678" s="39"/>
    </row>
    <row r="679" spans="1:2" x14ac:dyDescent="0.2">
      <c r="A679" s="39"/>
      <c r="B679" s="39"/>
    </row>
    <row r="680" spans="1:2" x14ac:dyDescent="0.2">
      <c r="A680" s="39"/>
      <c r="B680" s="39"/>
    </row>
    <row r="681" spans="1:2" x14ac:dyDescent="0.2">
      <c r="A681" s="39"/>
      <c r="B681" s="39"/>
    </row>
    <row r="682" spans="1:2" x14ac:dyDescent="0.2">
      <c r="A682" s="39"/>
      <c r="B682" s="39"/>
    </row>
    <row r="683" spans="1:2" x14ac:dyDescent="0.2">
      <c r="A683" s="39"/>
      <c r="B683" s="39"/>
    </row>
    <row r="684" spans="1:2" x14ac:dyDescent="0.2">
      <c r="A684" s="39"/>
      <c r="B684" s="39"/>
    </row>
    <row r="685" spans="1:2" x14ac:dyDescent="0.2">
      <c r="A685" s="39"/>
      <c r="B685" s="39"/>
    </row>
    <row r="686" spans="1:2" x14ac:dyDescent="0.2">
      <c r="A686" s="39"/>
      <c r="B686" s="39"/>
    </row>
    <row r="687" spans="1:2" x14ac:dyDescent="0.2">
      <c r="A687" s="39"/>
      <c r="B687" s="39"/>
    </row>
    <row r="688" spans="1:2" x14ac:dyDescent="0.2">
      <c r="A688" s="39"/>
      <c r="B688" s="39"/>
    </row>
    <row r="689" spans="1:2" x14ac:dyDescent="0.2">
      <c r="A689" s="39"/>
      <c r="B689" s="39"/>
    </row>
    <row r="690" spans="1:2" x14ac:dyDescent="0.2">
      <c r="A690" s="39"/>
      <c r="B690" s="39"/>
    </row>
    <row r="691" spans="1:2" x14ac:dyDescent="0.2">
      <c r="A691" s="39"/>
      <c r="B691" s="39"/>
    </row>
    <row r="692" spans="1:2" x14ac:dyDescent="0.2">
      <c r="A692" s="39"/>
      <c r="B692" s="39"/>
    </row>
    <row r="693" spans="1:2" x14ac:dyDescent="0.2">
      <c r="A693" s="39"/>
      <c r="B693" s="39"/>
    </row>
    <row r="694" spans="1:2" x14ac:dyDescent="0.2">
      <c r="A694" s="39"/>
      <c r="B694" s="39"/>
    </row>
    <row r="695" spans="1:2" x14ac:dyDescent="0.2">
      <c r="A695" s="39"/>
      <c r="B695" s="39"/>
    </row>
    <row r="696" spans="1:2" x14ac:dyDescent="0.2">
      <c r="A696" s="39"/>
      <c r="B696" s="39"/>
    </row>
    <row r="697" spans="1:2" x14ac:dyDescent="0.2">
      <c r="A697" s="39"/>
      <c r="B697" s="39"/>
    </row>
    <row r="698" spans="1:2" x14ac:dyDescent="0.2">
      <c r="A698" s="39"/>
      <c r="B698" s="39"/>
    </row>
    <row r="699" spans="1:2" x14ac:dyDescent="0.2">
      <c r="A699" s="39"/>
      <c r="B699" s="39"/>
    </row>
    <row r="700" spans="1:2" x14ac:dyDescent="0.2">
      <c r="A700" s="39"/>
      <c r="B700" s="39"/>
    </row>
    <row r="701" spans="1:2" x14ac:dyDescent="0.2">
      <c r="A701" s="39"/>
      <c r="B701" s="39"/>
    </row>
    <row r="702" spans="1:2" x14ac:dyDescent="0.2">
      <c r="A702" s="39"/>
      <c r="B702" s="39"/>
    </row>
    <row r="703" spans="1:2" x14ac:dyDescent="0.2">
      <c r="A703" s="39"/>
      <c r="B703" s="39"/>
    </row>
    <row r="704" spans="1:2" x14ac:dyDescent="0.2">
      <c r="A704" s="39"/>
      <c r="B704" s="39"/>
    </row>
    <row r="705" spans="1:2" x14ac:dyDescent="0.2">
      <c r="A705" s="39"/>
      <c r="B705" s="39"/>
    </row>
    <row r="706" spans="1:2" x14ac:dyDescent="0.2">
      <c r="A706" s="39"/>
      <c r="B706" s="39"/>
    </row>
    <row r="707" spans="1:2" x14ac:dyDescent="0.2">
      <c r="A707" s="39"/>
      <c r="B707" s="39"/>
    </row>
    <row r="708" spans="1:2" x14ac:dyDescent="0.2">
      <c r="A708" s="39"/>
      <c r="B708" s="39"/>
    </row>
    <row r="709" spans="1:2" x14ac:dyDescent="0.2">
      <c r="A709" s="39"/>
      <c r="B709" s="39"/>
    </row>
    <row r="710" spans="1:2" x14ac:dyDescent="0.2">
      <c r="A710" s="39"/>
      <c r="B710" s="39"/>
    </row>
    <row r="711" spans="1:2" x14ac:dyDescent="0.2">
      <c r="A711" s="39"/>
      <c r="B711" s="39"/>
    </row>
    <row r="712" spans="1:2" x14ac:dyDescent="0.2">
      <c r="A712" s="39"/>
      <c r="B712" s="39"/>
    </row>
    <row r="713" spans="1:2" x14ac:dyDescent="0.2">
      <c r="A713" s="39"/>
      <c r="B713" s="39"/>
    </row>
    <row r="714" spans="1:2" x14ac:dyDescent="0.2">
      <c r="A714" s="39"/>
      <c r="B714" s="39"/>
    </row>
    <row r="715" spans="1:2" x14ac:dyDescent="0.2">
      <c r="A715" s="39"/>
      <c r="B715" s="39"/>
    </row>
    <row r="716" spans="1:2" x14ac:dyDescent="0.2">
      <c r="A716" s="39"/>
      <c r="B716" s="39"/>
    </row>
    <row r="717" spans="1:2" x14ac:dyDescent="0.2">
      <c r="A717" s="39"/>
      <c r="B717" s="39"/>
    </row>
    <row r="718" spans="1:2" x14ac:dyDescent="0.2">
      <c r="A718" s="39"/>
      <c r="B718" s="39"/>
    </row>
    <row r="719" spans="1:2" x14ac:dyDescent="0.2">
      <c r="A719" s="39"/>
      <c r="B719" s="39"/>
    </row>
    <row r="720" spans="1:2" x14ac:dyDescent="0.2">
      <c r="A720" s="39"/>
      <c r="B720" s="39"/>
    </row>
    <row r="721" spans="1:2" x14ac:dyDescent="0.2">
      <c r="A721" s="39"/>
      <c r="B721" s="39"/>
    </row>
    <row r="722" spans="1:2" x14ac:dyDescent="0.2">
      <c r="A722" s="39"/>
      <c r="B722" s="39"/>
    </row>
    <row r="723" spans="1:2" x14ac:dyDescent="0.2">
      <c r="A723" s="39"/>
      <c r="B723" s="39"/>
    </row>
    <row r="724" spans="1:2" x14ac:dyDescent="0.2">
      <c r="A724" s="39"/>
      <c r="B724" s="39"/>
    </row>
    <row r="725" spans="1:2" x14ac:dyDescent="0.2">
      <c r="A725" s="39"/>
      <c r="B725" s="39"/>
    </row>
    <row r="726" spans="1:2" x14ac:dyDescent="0.2">
      <c r="A726" s="39"/>
      <c r="B726" s="39"/>
    </row>
    <row r="727" spans="1:2" x14ac:dyDescent="0.2">
      <c r="A727" s="39"/>
      <c r="B727" s="39"/>
    </row>
    <row r="728" spans="1:2" x14ac:dyDescent="0.2">
      <c r="A728" s="39"/>
      <c r="B728" s="39"/>
    </row>
    <row r="729" spans="1:2" x14ac:dyDescent="0.2">
      <c r="A729" s="39"/>
      <c r="B729" s="39"/>
    </row>
    <row r="730" spans="1:2" x14ac:dyDescent="0.2">
      <c r="A730" s="39"/>
      <c r="B730" s="39"/>
    </row>
    <row r="731" spans="1:2" x14ac:dyDescent="0.2">
      <c r="A731" s="39"/>
      <c r="B731" s="39"/>
    </row>
    <row r="732" spans="1:2" x14ac:dyDescent="0.2">
      <c r="A732" s="39"/>
      <c r="B732" s="39"/>
    </row>
    <row r="733" spans="1:2" x14ac:dyDescent="0.2">
      <c r="A733" s="39"/>
      <c r="B733" s="39"/>
    </row>
    <row r="734" spans="1:2" x14ac:dyDescent="0.2">
      <c r="A734" s="39"/>
      <c r="B734" s="39"/>
    </row>
    <row r="735" spans="1:2" x14ac:dyDescent="0.2">
      <c r="A735" s="39"/>
      <c r="B735" s="39"/>
    </row>
    <row r="736" spans="1:2" x14ac:dyDescent="0.2">
      <c r="A736" s="39"/>
      <c r="B736" s="39"/>
    </row>
    <row r="737" spans="1:2" x14ac:dyDescent="0.2">
      <c r="A737" s="39"/>
      <c r="B737" s="39"/>
    </row>
    <row r="738" spans="1:2" x14ac:dyDescent="0.2">
      <c r="A738" s="39"/>
      <c r="B738" s="39"/>
    </row>
    <row r="739" spans="1:2" x14ac:dyDescent="0.2">
      <c r="A739" s="39"/>
      <c r="B739" s="39"/>
    </row>
    <row r="740" spans="1:2" x14ac:dyDescent="0.2">
      <c r="A740" s="39"/>
      <c r="B740" s="39"/>
    </row>
    <row r="741" spans="1:2" x14ac:dyDescent="0.2">
      <c r="A741" s="39"/>
      <c r="B741" s="39"/>
    </row>
    <row r="742" spans="1:2" x14ac:dyDescent="0.2">
      <c r="A742" s="39"/>
      <c r="B742" s="39"/>
    </row>
    <row r="743" spans="1:2" x14ac:dyDescent="0.2">
      <c r="A743" s="39"/>
      <c r="B743" s="39"/>
    </row>
    <row r="744" spans="1:2" x14ac:dyDescent="0.2">
      <c r="A744" s="39"/>
      <c r="B744" s="39"/>
    </row>
    <row r="745" spans="1:2" x14ac:dyDescent="0.2">
      <c r="A745" s="39"/>
      <c r="B745" s="39"/>
    </row>
    <row r="746" spans="1:2" x14ac:dyDescent="0.2">
      <c r="A746" s="39"/>
      <c r="B746" s="39"/>
    </row>
    <row r="747" spans="1:2" x14ac:dyDescent="0.2">
      <c r="A747" s="39"/>
      <c r="B747" s="39"/>
    </row>
    <row r="748" spans="1:2" x14ac:dyDescent="0.2">
      <c r="A748" s="39"/>
      <c r="B748" s="39"/>
    </row>
    <row r="749" spans="1:2" x14ac:dyDescent="0.2">
      <c r="A749" s="39"/>
      <c r="B749" s="39"/>
    </row>
    <row r="750" spans="1:2" x14ac:dyDescent="0.2">
      <c r="A750" s="39"/>
      <c r="B750" s="39"/>
    </row>
    <row r="751" spans="1:2" x14ac:dyDescent="0.2">
      <c r="A751" s="39"/>
      <c r="B751" s="39"/>
    </row>
    <row r="752" spans="1:2" x14ac:dyDescent="0.2">
      <c r="A752" s="39"/>
      <c r="B752" s="39"/>
    </row>
    <row r="753" spans="1:2" x14ac:dyDescent="0.2">
      <c r="A753" s="39"/>
      <c r="B753" s="39"/>
    </row>
    <row r="754" spans="1:2" x14ac:dyDescent="0.2">
      <c r="A754" s="39"/>
      <c r="B754" s="39"/>
    </row>
    <row r="755" spans="1:2" x14ac:dyDescent="0.2">
      <c r="A755" s="39"/>
      <c r="B755" s="39"/>
    </row>
    <row r="756" spans="1:2" x14ac:dyDescent="0.2">
      <c r="A756" s="39"/>
      <c r="B756" s="39"/>
    </row>
    <row r="757" spans="1:2" x14ac:dyDescent="0.2">
      <c r="A757" s="39"/>
      <c r="B757" s="39"/>
    </row>
    <row r="758" spans="1:2" x14ac:dyDescent="0.2">
      <c r="A758" s="39"/>
      <c r="B758" s="39"/>
    </row>
    <row r="759" spans="1:2" x14ac:dyDescent="0.2">
      <c r="A759" s="39"/>
      <c r="B759" s="39"/>
    </row>
    <row r="760" spans="1:2" x14ac:dyDescent="0.2">
      <c r="A760" s="39"/>
      <c r="B760" s="39"/>
    </row>
    <row r="761" spans="1:2" x14ac:dyDescent="0.2">
      <c r="A761" s="39"/>
      <c r="B761" s="39"/>
    </row>
    <row r="762" spans="1:2" x14ac:dyDescent="0.2">
      <c r="A762" s="39"/>
      <c r="B762" s="39"/>
    </row>
    <row r="763" spans="1:2" x14ac:dyDescent="0.2">
      <c r="A763" s="39"/>
      <c r="B763" s="39"/>
    </row>
    <row r="764" spans="1:2" x14ac:dyDescent="0.2">
      <c r="A764" s="39"/>
      <c r="B764" s="39"/>
    </row>
    <row r="765" spans="1:2" x14ac:dyDescent="0.2">
      <c r="A765" s="39"/>
      <c r="B765" s="39"/>
    </row>
    <row r="766" spans="1:2" x14ac:dyDescent="0.2">
      <c r="A766" s="39"/>
      <c r="B766" s="39"/>
    </row>
    <row r="767" spans="1:2" x14ac:dyDescent="0.2">
      <c r="A767" s="39"/>
      <c r="B767" s="39"/>
    </row>
    <row r="768" spans="1:2" x14ac:dyDescent="0.2">
      <c r="A768" s="39"/>
      <c r="B768" s="39"/>
    </row>
    <row r="769" spans="1:2" x14ac:dyDescent="0.2">
      <c r="A769" s="39"/>
      <c r="B769" s="39"/>
    </row>
    <row r="770" spans="1:2" x14ac:dyDescent="0.2">
      <c r="A770" s="39"/>
      <c r="B770" s="39"/>
    </row>
    <row r="771" spans="1:2" x14ac:dyDescent="0.2">
      <c r="A771" s="39"/>
      <c r="B771" s="39"/>
    </row>
    <row r="772" spans="1:2" x14ac:dyDescent="0.2">
      <c r="A772" s="39"/>
      <c r="B772" s="39"/>
    </row>
    <row r="773" spans="1:2" x14ac:dyDescent="0.2">
      <c r="A773" s="39"/>
      <c r="B773" s="39"/>
    </row>
    <row r="774" spans="1:2" x14ac:dyDescent="0.2">
      <c r="A774" s="39"/>
      <c r="B774" s="39"/>
    </row>
    <row r="775" spans="1:2" x14ac:dyDescent="0.2">
      <c r="A775" s="39"/>
      <c r="B775" s="39"/>
    </row>
    <row r="776" spans="1:2" x14ac:dyDescent="0.2">
      <c r="A776" s="39"/>
      <c r="B776" s="39"/>
    </row>
    <row r="777" spans="1:2" x14ac:dyDescent="0.2">
      <c r="A777" s="39"/>
      <c r="B777" s="39"/>
    </row>
    <row r="778" spans="1:2" x14ac:dyDescent="0.2">
      <c r="A778" s="39"/>
      <c r="B778" s="39"/>
    </row>
    <row r="779" spans="1:2" x14ac:dyDescent="0.2">
      <c r="A779" s="39"/>
      <c r="B779" s="39"/>
    </row>
    <row r="780" spans="1:2" x14ac:dyDescent="0.2">
      <c r="A780" s="39"/>
      <c r="B780" s="39"/>
    </row>
    <row r="781" spans="1:2" x14ac:dyDescent="0.2">
      <c r="A781" s="39"/>
      <c r="B781" s="39"/>
    </row>
    <row r="782" spans="1:2" x14ac:dyDescent="0.2">
      <c r="A782" s="39"/>
      <c r="B782" s="39"/>
    </row>
    <row r="783" spans="1:2" x14ac:dyDescent="0.2">
      <c r="A783" s="39"/>
      <c r="B783" s="39"/>
    </row>
    <row r="784" spans="1:2" x14ac:dyDescent="0.2">
      <c r="A784" s="39"/>
      <c r="B784" s="39"/>
    </row>
    <row r="785" spans="1:2" x14ac:dyDescent="0.2">
      <c r="A785" s="39"/>
      <c r="B785" s="39"/>
    </row>
    <row r="786" spans="1:2" x14ac:dyDescent="0.2">
      <c r="A786" s="39"/>
      <c r="B786" s="39"/>
    </row>
    <row r="787" spans="1:2" x14ac:dyDescent="0.2">
      <c r="A787" s="39"/>
      <c r="B787" s="39"/>
    </row>
    <row r="788" spans="1:2" x14ac:dyDescent="0.2">
      <c r="A788" s="39"/>
      <c r="B788" s="39"/>
    </row>
    <row r="789" spans="1:2" x14ac:dyDescent="0.2">
      <c r="A789" s="39"/>
      <c r="B789" s="39"/>
    </row>
    <row r="790" spans="1:2" x14ac:dyDescent="0.2">
      <c r="A790" s="39"/>
      <c r="B790" s="39"/>
    </row>
    <row r="791" spans="1:2" x14ac:dyDescent="0.2">
      <c r="A791" s="39"/>
      <c r="B791" s="39"/>
    </row>
    <row r="792" spans="1:2" x14ac:dyDescent="0.2">
      <c r="A792" s="39"/>
      <c r="B792" s="39"/>
    </row>
    <row r="793" spans="1:2" x14ac:dyDescent="0.2">
      <c r="A793" s="39"/>
      <c r="B793" s="39"/>
    </row>
    <row r="794" spans="1:2" x14ac:dyDescent="0.2">
      <c r="A794" s="39"/>
      <c r="B794" s="39"/>
    </row>
    <row r="795" spans="1:2" x14ac:dyDescent="0.2">
      <c r="A795" s="39"/>
      <c r="B795" s="39"/>
    </row>
    <row r="796" spans="1:2" x14ac:dyDescent="0.2">
      <c r="A796" s="39"/>
      <c r="B796" s="39"/>
    </row>
    <row r="797" spans="1:2" x14ac:dyDescent="0.2">
      <c r="A797" s="39"/>
      <c r="B797" s="39"/>
    </row>
    <row r="798" spans="1:2" x14ac:dyDescent="0.2">
      <c r="A798" s="39"/>
      <c r="B798" s="39"/>
    </row>
    <row r="799" spans="1:2" x14ac:dyDescent="0.2">
      <c r="A799" s="39"/>
      <c r="B799" s="39"/>
    </row>
    <row r="800" spans="1:2" x14ac:dyDescent="0.2">
      <c r="A800" s="39"/>
      <c r="B800" s="39"/>
    </row>
    <row r="801" spans="1:2" x14ac:dyDescent="0.2">
      <c r="A801" s="39"/>
      <c r="B801" s="39"/>
    </row>
    <row r="802" spans="1:2" x14ac:dyDescent="0.2">
      <c r="A802" s="39"/>
      <c r="B802" s="39"/>
    </row>
    <row r="803" spans="1:2" x14ac:dyDescent="0.2">
      <c r="A803" s="39"/>
      <c r="B803" s="39"/>
    </row>
    <row r="804" spans="1:2" x14ac:dyDescent="0.2">
      <c r="A804" s="39"/>
      <c r="B804" s="39"/>
    </row>
    <row r="805" spans="1:2" x14ac:dyDescent="0.2">
      <c r="A805" s="39"/>
      <c r="B805" s="39"/>
    </row>
    <row r="806" spans="1:2" x14ac:dyDescent="0.2">
      <c r="A806" s="39"/>
      <c r="B806" s="39"/>
    </row>
    <row r="807" spans="1:2" x14ac:dyDescent="0.2">
      <c r="A807" s="39"/>
      <c r="B807" s="39"/>
    </row>
    <row r="808" spans="1:2" x14ac:dyDescent="0.2">
      <c r="A808" s="39"/>
      <c r="B808" s="39"/>
    </row>
    <row r="809" spans="1:2" x14ac:dyDescent="0.2">
      <c r="A809" s="39"/>
      <c r="B809" s="39"/>
    </row>
    <row r="810" spans="1:2" x14ac:dyDescent="0.2">
      <c r="A810" s="39"/>
      <c r="B810" s="39"/>
    </row>
    <row r="811" spans="1:2" x14ac:dyDescent="0.2">
      <c r="A811" s="39"/>
      <c r="B811" s="39"/>
    </row>
    <row r="812" spans="1:2" x14ac:dyDescent="0.2">
      <c r="A812" s="39"/>
      <c r="B812" s="39"/>
    </row>
    <row r="813" spans="1:2" x14ac:dyDescent="0.2">
      <c r="A813" s="39"/>
      <c r="B813" s="39"/>
    </row>
    <row r="814" spans="1:2" x14ac:dyDescent="0.2">
      <c r="A814" s="39"/>
      <c r="B814" s="39"/>
    </row>
    <row r="815" spans="1:2" x14ac:dyDescent="0.2">
      <c r="A815" s="39"/>
      <c r="B815" s="39"/>
    </row>
    <row r="816" spans="1:2" x14ac:dyDescent="0.2">
      <c r="A816" s="39"/>
      <c r="B816" s="39"/>
    </row>
    <row r="817" spans="1:2" x14ac:dyDescent="0.2">
      <c r="A817" s="39"/>
      <c r="B817" s="39"/>
    </row>
    <row r="818" spans="1:2" x14ac:dyDescent="0.2">
      <c r="A818" s="39"/>
      <c r="B818" s="39"/>
    </row>
    <row r="819" spans="1:2" x14ac:dyDescent="0.2">
      <c r="A819" s="39"/>
      <c r="B819" s="39"/>
    </row>
    <row r="820" spans="1:2" x14ac:dyDescent="0.2">
      <c r="A820" s="39"/>
      <c r="B820" s="39"/>
    </row>
    <row r="821" spans="1:2" x14ac:dyDescent="0.2">
      <c r="A821" s="39"/>
      <c r="B821" s="39"/>
    </row>
    <row r="822" spans="1:2" x14ac:dyDescent="0.2">
      <c r="A822" s="39"/>
      <c r="B822" s="39"/>
    </row>
    <row r="823" spans="1:2" x14ac:dyDescent="0.2">
      <c r="A823" s="39"/>
      <c r="B823" s="39"/>
    </row>
    <row r="824" spans="1:2" x14ac:dyDescent="0.2">
      <c r="A824" s="39"/>
      <c r="B824" s="39"/>
    </row>
    <row r="825" spans="1:2" x14ac:dyDescent="0.2">
      <c r="A825" s="39"/>
      <c r="B825" s="39"/>
    </row>
    <row r="826" spans="1:2" x14ac:dyDescent="0.2">
      <c r="A826" s="39"/>
      <c r="B826" s="39"/>
    </row>
    <row r="827" spans="1:2" x14ac:dyDescent="0.2">
      <c r="A827" s="39"/>
      <c r="B827" s="39"/>
    </row>
    <row r="828" spans="1:2" x14ac:dyDescent="0.2">
      <c r="A828" s="39"/>
      <c r="B828" s="39"/>
    </row>
    <row r="829" spans="1:2" x14ac:dyDescent="0.2">
      <c r="A829" s="39"/>
      <c r="B829" s="39"/>
    </row>
    <row r="830" spans="1:2" x14ac:dyDescent="0.2">
      <c r="A830" s="39"/>
      <c r="B830" s="39"/>
    </row>
    <row r="831" spans="1:2" x14ac:dyDescent="0.2">
      <c r="A831" s="39"/>
      <c r="B831" s="39"/>
    </row>
    <row r="832" spans="1:2" x14ac:dyDescent="0.2">
      <c r="A832" s="39"/>
      <c r="B832" s="39"/>
    </row>
    <row r="833" spans="1:2" x14ac:dyDescent="0.2">
      <c r="A833" s="39"/>
      <c r="B833" s="39"/>
    </row>
    <row r="834" spans="1:2" x14ac:dyDescent="0.2">
      <c r="A834" s="39"/>
      <c r="B834" s="39"/>
    </row>
    <row r="835" spans="1:2" x14ac:dyDescent="0.2">
      <c r="A835" s="39"/>
      <c r="B835" s="39"/>
    </row>
    <row r="836" spans="1:2" x14ac:dyDescent="0.2">
      <c r="A836" s="39"/>
      <c r="B836" s="39"/>
    </row>
    <row r="837" spans="1:2" x14ac:dyDescent="0.2">
      <c r="A837" s="39"/>
      <c r="B837" s="39"/>
    </row>
    <row r="838" spans="1:2" x14ac:dyDescent="0.2">
      <c r="A838" s="39"/>
      <c r="B838" s="39"/>
    </row>
    <row r="839" spans="1:2" x14ac:dyDescent="0.2">
      <c r="A839" s="39"/>
      <c r="B839" s="39"/>
    </row>
    <row r="840" spans="1:2" x14ac:dyDescent="0.2">
      <c r="A840" s="39"/>
      <c r="B840" s="39"/>
    </row>
    <row r="841" spans="1:2" x14ac:dyDescent="0.2">
      <c r="A841" s="39"/>
      <c r="B841" s="39"/>
    </row>
    <row r="842" spans="1:2" x14ac:dyDescent="0.2">
      <c r="A842" s="39"/>
      <c r="B842" s="39"/>
    </row>
    <row r="843" spans="1:2" x14ac:dyDescent="0.2">
      <c r="A843" s="39"/>
      <c r="B843" s="39"/>
    </row>
    <row r="844" spans="1:2" x14ac:dyDescent="0.2">
      <c r="A844" s="39"/>
      <c r="B844" s="39"/>
    </row>
    <row r="845" spans="1:2" x14ac:dyDescent="0.2">
      <c r="A845" s="39"/>
      <c r="B845" s="39"/>
    </row>
    <row r="846" spans="1:2" x14ac:dyDescent="0.2">
      <c r="A846" s="39"/>
      <c r="B846" s="39"/>
    </row>
    <row r="847" spans="1:2" x14ac:dyDescent="0.2">
      <c r="A847" s="39"/>
      <c r="B847" s="39"/>
    </row>
    <row r="848" spans="1:2" x14ac:dyDescent="0.2">
      <c r="A848" s="39"/>
      <c r="B848" s="39"/>
    </row>
    <row r="849" spans="1:2" x14ac:dyDescent="0.2">
      <c r="A849" s="39"/>
      <c r="B849" s="39"/>
    </row>
    <row r="850" spans="1:2" x14ac:dyDescent="0.2">
      <c r="A850" s="39"/>
      <c r="B850" s="39"/>
    </row>
    <row r="851" spans="1:2" x14ac:dyDescent="0.2">
      <c r="A851" s="39"/>
      <c r="B851" s="39"/>
    </row>
    <row r="852" spans="1:2" x14ac:dyDescent="0.2">
      <c r="A852" s="39"/>
      <c r="B852" s="39"/>
    </row>
    <row r="853" spans="1:2" x14ac:dyDescent="0.2">
      <c r="A853" s="39"/>
      <c r="B853" s="39"/>
    </row>
    <row r="854" spans="1:2" x14ac:dyDescent="0.2">
      <c r="A854" s="39"/>
      <c r="B854" s="39"/>
    </row>
    <row r="855" spans="1:2" x14ac:dyDescent="0.2">
      <c r="A855" s="39"/>
      <c r="B855" s="39"/>
    </row>
    <row r="856" spans="1:2" x14ac:dyDescent="0.2">
      <c r="A856" s="39"/>
      <c r="B856" s="39"/>
    </row>
    <row r="857" spans="1:2" x14ac:dyDescent="0.2">
      <c r="A857" s="39"/>
      <c r="B857" s="39"/>
    </row>
    <row r="858" spans="1:2" x14ac:dyDescent="0.2">
      <c r="A858" s="39"/>
      <c r="B858" s="39"/>
    </row>
    <row r="859" spans="1:2" x14ac:dyDescent="0.2">
      <c r="A859" s="39"/>
      <c r="B859" s="39"/>
    </row>
    <row r="860" spans="1:2" x14ac:dyDescent="0.2">
      <c r="A860" s="39"/>
      <c r="B860" s="39"/>
    </row>
    <row r="861" spans="1:2" x14ac:dyDescent="0.2">
      <c r="A861" s="39"/>
      <c r="B861" s="39"/>
    </row>
    <row r="862" spans="1:2" x14ac:dyDescent="0.2">
      <c r="A862" s="39"/>
      <c r="B862" s="39"/>
    </row>
    <row r="863" spans="1:2" x14ac:dyDescent="0.2">
      <c r="A863" s="39"/>
      <c r="B863" s="39"/>
    </row>
    <row r="864" spans="1:2" x14ac:dyDescent="0.2">
      <c r="A864" s="39"/>
      <c r="B864" s="39"/>
    </row>
    <row r="865" spans="1:2" x14ac:dyDescent="0.2">
      <c r="A865" s="39"/>
      <c r="B865" s="39"/>
    </row>
    <row r="866" spans="1:2" x14ac:dyDescent="0.2">
      <c r="A866" s="39"/>
      <c r="B866" s="39"/>
    </row>
    <row r="867" spans="1:2" x14ac:dyDescent="0.2">
      <c r="A867" s="39"/>
      <c r="B867" s="39"/>
    </row>
    <row r="868" spans="1:2" x14ac:dyDescent="0.2">
      <c r="A868" s="39"/>
      <c r="B868" s="39"/>
    </row>
    <row r="869" spans="1:2" x14ac:dyDescent="0.2">
      <c r="A869" s="39"/>
      <c r="B869" s="39"/>
    </row>
    <row r="870" spans="1:2" x14ac:dyDescent="0.2">
      <c r="A870" s="39"/>
      <c r="B870" s="39"/>
    </row>
    <row r="871" spans="1:2" x14ac:dyDescent="0.2">
      <c r="A871" s="39"/>
      <c r="B871" s="39"/>
    </row>
    <row r="872" spans="1:2" x14ac:dyDescent="0.2">
      <c r="A872" s="39"/>
      <c r="B872" s="39"/>
    </row>
    <row r="873" spans="1:2" x14ac:dyDescent="0.2">
      <c r="A873" s="39"/>
      <c r="B873" s="39"/>
    </row>
    <row r="874" spans="1:2" x14ac:dyDescent="0.2">
      <c r="A874" s="39"/>
      <c r="B874" s="39"/>
    </row>
    <row r="875" spans="1:2" x14ac:dyDescent="0.2">
      <c r="A875" s="39"/>
      <c r="B875" s="39"/>
    </row>
    <row r="876" spans="1:2" x14ac:dyDescent="0.2">
      <c r="A876" s="39"/>
      <c r="B876" s="39"/>
    </row>
    <row r="877" spans="1:2" x14ac:dyDescent="0.2">
      <c r="A877" s="39"/>
      <c r="B877" s="39"/>
    </row>
    <row r="878" spans="1:2" x14ac:dyDescent="0.2">
      <c r="A878" s="39"/>
      <c r="B878" s="39"/>
    </row>
    <row r="879" spans="1:2" x14ac:dyDescent="0.2">
      <c r="A879" s="39"/>
      <c r="B879" s="39"/>
    </row>
    <row r="880" spans="1:2" x14ac:dyDescent="0.2">
      <c r="A880" s="39"/>
      <c r="B880" s="39"/>
    </row>
    <row r="881" spans="1:2" x14ac:dyDescent="0.2">
      <c r="A881" s="39"/>
      <c r="B881" s="39"/>
    </row>
    <row r="882" spans="1:2" x14ac:dyDescent="0.2">
      <c r="A882" s="39"/>
      <c r="B882" s="39"/>
    </row>
    <row r="883" spans="1:2" x14ac:dyDescent="0.2">
      <c r="A883" s="39"/>
      <c r="B883" s="39"/>
    </row>
    <row r="884" spans="1:2" x14ac:dyDescent="0.2">
      <c r="A884" s="39"/>
      <c r="B884" s="39"/>
    </row>
    <row r="885" spans="1:2" x14ac:dyDescent="0.2">
      <c r="A885" s="39"/>
      <c r="B885" s="39"/>
    </row>
    <row r="886" spans="1:2" x14ac:dyDescent="0.2">
      <c r="A886" s="39"/>
      <c r="B886" s="39"/>
    </row>
    <row r="887" spans="1:2" x14ac:dyDescent="0.2">
      <c r="A887" s="39"/>
      <c r="B887" s="39"/>
    </row>
    <row r="888" spans="1:2" x14ac:dyDescent="0.2">
      <c r="A888" s="39"/>
      <c r="B888" s="39"/>
    </row>
    <row r="889" spans="1:2" x14ac:dyDescent="0.2">
      <c r="A889" s="39"/>
      <c r="B889" s="39"/>
    </row>
    <row r="890" spans="1:2" x14ac:dyDescent="0.2">
      <c r="A890" s="39"/>
      <c r="B890" s="39"/>
    </row>
    <row r="891" spans="1:2" x14ac:dyDescent="0.2">
      <c r="A891" s="39"/>
      <c r="B891" s="39"/>
    </row>
    <row r="892" spans="1:2" x14ac:dyDescent="0.2">
      <c r="A892" s="39"/>
      <c r="B892" s="39"/>
    </row>
    <row r="893" spans="1:2" x14ac:dyDescent="0.2">
      <c r="A893" s="39"/>
      <c r="B893" s="39"/>
    </row>
    <row r="894" spans="1:2" x14ac:dyDescent="0.2">
      <c r="A894" s="39"/>
      <c r="B894" s="39"/>
    </row>
    <row r="895" spans="1:2" x14ac:dyDescent="0.2">
      <c r="A895" s="39"/>
      <c r="B895" s="39"/>
    </row>
    <row r="896" spans="1:2" x14ac:dyDescent="0.2">
      <c r="A896" s="39"/>
      <c r="B896" s="39"/>
    </row>
    <row r="897" spans="1:2" x14ac:dyDescent="0.2">
      <c r="A897" s="39"/>
      <c r="B897" s="39"/>
    </row>
    <row r="898" spans="1:2" x14ac:dyDescent="0.2">
      <c r="A898" s="39"/>
      <c r="B898" s="39"/>
    </row>
    <row r="899" spans="1:2" x14ac:dyDescent="0.2">
      <c r="A899" s="39"/>
      <c r="B899" s="39"/>
    </row>
    <row r="900" spans="1:2" x14ac:dyDescent="0.2">
      <c r="A900" s="39"/>
      <c r="B900" s="39"/>
    </row>
    <row r="901" spans="1:2" x14ac:dyDescent="0.2">
      <c r="A901" s="39"/>
      <c r="B901" s="39"/>
    </row>
    <row r="902" spans="1:2" x14ac:dyDescent="0.2">
      <c r="A902" s="39"/>
      <c r="B902" s="39"/>
    </row>
    <row r="903" spans="1:2" x14ac:dyDescent="0.2">
      <c r="A903" s="39"/>
      <c r="B903" s="39"/>
    </row>
    <row r="904" spans="1:2" x14ac:dyDescent="0.2">
      <c r="A904" s="39"/>
      <c r="B904" s="39"/>
    </row>
    <row r="905" spans="1:2" x14ac:dyDescent="0.2">
      <c r="A905" s="39"/>
      <c r="B905" s="39"/>
    </row>
    <row r="906" spans="1:2" x14ac:dyDescent="0.2">
      <c r="A906" s="39"/>
      <c r="B906" s="39"/>
    </row>
    <row r="907" spans="1:2" x14ac:dyDescent="0.2">
      <c r="A907" s="39"/>
      <c r="B907" s="39"/>
    </row>
    <row r="908" spans="1:2" x14ac:dyDescent="0.2">
      <c r="A908" s="39"/>
      <c r="B908" s="39"/>
    </row>
    <row r="909" spans="1:2" x14ac:dyDescent="0.2">
      <c r="A909" s="39"/>
      <c r="B909" s="39"/>
    </row>
    <row r="910" spans="1:2" x14ac:dyDescent="0.2">
      <c r="A910" s="39"/>
      <c r="B910" s="39"/>
    </row>
    <row r="911" spans="1:2" x14ac:dyDescent="0.2">
      <c r="A911" s="39"/>
      <c r="B911" s="39"/>
    </row>
    <row r="912" spans="1:2" x14ac:dyDescent="0.2">
      <c r="A912" s="39"/>
      <c r="B912" s="39"/>
    </row>
    <row r="913" spans="1:2" x14ac:dyDescent="0.2">
      <c r="A913" s="39"/>
      <c r="B913" s="39"/>
    </row>
    <row r="914" spans="1:2" x14ac:dyDescent="0.2">
      <c r="A914" s="39"/>
      <c r="B914" s="39"/>
    </row>
    <row r="915" spans="1:2" x14ac:dyDescent="0.2">
      <c r="A915" s="39"/>
      <c r="B915" s="39"/>
    </row>
    <row r="916" spans="1:2" x14ac:dyDescent="0.2">
      <c r="A916" s="39"/>
      <c r="B916" s="39"/>
    </row>
    <row r="917" spans="1:2" x14ac:dyDescent="0.2">
      <c r="A917" s="39"/>
      <c r="B917" s="39"/>
    </row>
    <row r="918" spans="1:2" x14ac:dyDescent="0.2">
      <c r="A918" s="39"/>
      <c r="B918" s="39"/>
    </row>
    <row r="919" spans="1:2" x14ac:dyDescent="0.2">
      <c r="A919" s="39"/>
      <c r="B919" s="39"/>
    </row>
    <row r="920" spans="1:2" x14ac:dyDescent="0.2">
      <c r="A920" s="39"/>
      <c r="B920" s="39"/>
    </row>
    <row r="921" spans="1:2" x14ac:dyDescent="0.2">
      <c r="A921" s="39"/>
      <c r="B921" s="39"/>
    </row>
    <row r="922" spans="1:2" x14ac:dyDescent="0.2">
      <c r="A922" s="39"/>
      <c r="B922" s="39"/>
    </row>
    <row r="923" spans="1:2" x14ac:dyDescent="0.2">
      <c r="A923" s="39"/>
      <c r="B923" s="39"/>
    </row>
    <row r="924" spans="1:2" x14ac:dyDescent="0.2">
      <c r="A924" s="39"/>
      <c r="B924" s="39"/>
    </row>
    <row r="925" spans="1:2" x14ac:dyDescent="0.2">
      <c r="A925" s="39"/>
      <c r="B925" s="39"/>
    </row>
    <row r="926" spans="1:2" x14ac:dyDescent="0.2">
      <c r="A926" s="39"/>
      <c r="B926" s="39"/>
    </row>
    <row r="927" spans="1:2" x14ac:dyDescent="0.2">
      <c r="A927" s="39"/>
      <c r="B927" s="39"/>
    </row>
    <row r="928" spans="1:2" x14ac:dyDescent="0.2">
      <c r="A928" s="39"/>
      <c r="B928" s="39"/>
    </row>
    <row r="929" spans="1:2" x14ac:dyDescent="0.2">
      <c r="A929" s="39"/>
      <c r="B929" s="39"/>
    </row>
    <row r="930" spans="1:2" x14ac:dyDescent="0.2">
      <c r="A930" s="39"/>
      <c r="B930" s="39"/>
    </row>
    <row r="931" spans="1:2" x14ac:dyDescent="0.2">
      <c r="A931" s="39"/>
      <c r="B931" s="39"/>
    </row>
    <row r="932" spans="1:2" x14ac:dyDescent="0.2">
      <c r="A932" s="39"/>
      <c r="B932" s="39"/>
    </row>
    <row r="933" spans="1:2" x14ac:dyDescent="0.2">
      <c r="A933" s="39"/>
      <c r="B933" s="39"/>
    </row>
    <row r="934" spans="1:2" x14ac:dyDescent="0.2">
      <c r="A934" s="39"/>
      <c r="B934" s="39"/>
    </row>
    <row r="935" spans="1:2" x14ac:dyDescent="0.2">
      <c r="A935" s="39"/>
      <c r="B935" s="39"/>
    </row>
    <row r="936" spans="1:2" x14ac:dyDescent="0.2">
      <c r="A936" s="39"/>
      <c r="B936" s="39"/>
    </row>
    <row r="937" spans="1:2" x14ac:dyDescent="0.2">
      <c r="A937" s="39"/>
      <c r="B937" s="39"/>
    </row>
    <row r="938" spans="1:2" x14ac:dyDescent="0.2">
      <c r="A938" s="39"/>
      <c r="B938" s="39"/>
    </row>
    <row r="939" spans="1:2" x14ac:dyDescent="0.2">
      <c r="A939" s="39"/>
      <c r="B939" s="39"/>
    </row>
    <row r="940" spans="1:2" x14ac:dyDescent="0.2">
      <c r="A940" s="39"/>
      <c r="B940" s="39"/>
    </row>
    <row r="941" spans="1:2" x14ac:dyDescent="0.2">
      <c r="A941" s="39"/>
      <c r="B941" s="39"/>
    </row>
    <row r="942" spans="1:2" x14ac:dyDescent="0.2">
      <c r="A942" s="39"/>
      <c r="B942" s="39"/>
    </row>
    <row r="943" spans="1:2" x14ac:dyDescent="0.2">
      <c r="A943" s="39"/>
      <c r="B943" s="39"/>
    </row>
    <row r="944" spans="1:2" x14ac:dyDescent="0.2">
      <c r="A944" s="39"/>
      <c r="B944" s="39"/>
    </row>
    <row r="945" spans="1:2" x14ac:dyDescent="0.2">
      <c r="A945" s="39"/>
      <c r="B945" s="39"/>
    </row>
    <row r="946" spans="1:2" x14ac:dyDescent="0.2">
      <c r="A946" s="39"/>
      <c r="B946" s="39"/>
    </row>
    <row r="947" spans="1:2" x14ac:dyDescent="0.2">
      <c r="A947" s="39"/>
      <c r="B947" s="39"/>
    </row>
    <row r="948" spans="1:2" x14ac:dyDescent="0.2">
      <c r="A948" s="39"/>
      <c r="B948" s="39"/>
    </row>
    <row r="949" spans="1:2" x14ac:dyDescent="0.2">
      <c r="A949" s="39"/>
      <c r="B949" s="39"/>
    </row>
    <row r="950" spans="1:2" x14ac:dyDescent="0.2">
      <c r="A950" s="39"/>
      <c r="B950" s="39"/>
    </row>
    <row r="951" spans="1:2" x14ac:dyDescent="0.2">
      <c r="A951" s="39"/>
      <c r="B951" s="39"/>
    </row>
    <row r="952" spans="1:2" x14ac:dyDescent="0.2">
      <c r="A952" s="39"/>
      <c r="B952" s="39"/>
    </row>
    <row r="953" spans="1:2" x14ac:dyDescent="0.2">
      <c r="A953" s="39"/>
      <c r="B953" s="39"/>
    </row>
    <row r="954" spans="1:2" x14ac:dyDescent="0.2">
      <c r="A954" s="39"/>
      <c r="B954" s="39"/>
    </row>
    <row r="955" spans="1:2" x14ac:dyDescent="0.2">
      <c r="A955" s="39"/>
      <c r="B955" s="39"/>
    </row>
    <row r="956" spans="1:2" x14ac:dyDescent="0.2">
      <c r="A956" s="39"/>
      <c r="B956" s="39"/>
    </row>
    <row r="957" spans="1:2" x14ac:dyDescent="0.2">
      <c r="A957" s="39"/>
      <c r="B957" s="39"/>
    </row>
    <row r="958" spans="1:2" x14ac:dyDescent="0.2">
      <c r="A958" s="39"/>
      <c r="B958" s="39"/>
    </row>
    <row r="959" spans="1:2" x14ac:dyDescent="0.2">
      <c r="A959" s="39"/>
      <c r="B959" s="39"/>
    </row>
    <row r="960" spans="1:2" x14ac:dyDescent="0.2">
      <c r="A960" s="39"/>
      <c r="B960" s="39"/>
    </row>
    <row r="961" spans="1:2" x14ac:dyDescent="0.2">
      <c r="A961" s="39"/>
      <c r="B961" s="39"/>
    </row>
    <row r="962" spans="1:2" x14ac:dyDescent="0.2">
      <c r="A962" s="39"/>
      <c r="B962" s="39"/>
    </row>
    <row r="963" spans="1:2" x14ac:dyDescent="0.2">
      <c r="A963" s="39"/>
      <c r="B963" s="39"/>
    </row>
    <row r="964" spans="1:2" x14ac:dyDescent="0.2">
      <c r="A964" s="39"/>
      <c r="B964" s="39"/>
    </row>
    <row r="965" spans="1:2" x14ac:dyDescent="0.2">
      <c r="A965" s="39"/>
      <c r="B965" s="39"/>
    </row>
    <row r="966" spans="1:2" x14ac:dyDescent="0.2">
      <c r="A966" s="39"/>
      <c r="B966" s="39"/>
    </row>
    <row r="967" spans="1:2" x14ac:dyDescent="0.2">
      <c r="A967" s="39"/>
      <c r="B967" s="39"/>
    </row>
    <row r="968" spans="1:2" x14ac:dyDescent="0.2">
      <c r="A968" s="39"/>
      <c r="B968" s="39"/>
    </row>
    <row r="969" spans="1:2" x14ac:dyDescent="0.2">
      <c r="A969" s="39"/>
      <c r="B969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969"/>
  <sheetViews>
    <sheetView zoomScaleNormal="100" workbookViewId="0">
      <pane ySplit="1" topLeftCell="A42" activePane="bottomLeft" state="frozen"/>
      <selection pane="bottomLeft" activeCell="F15" sqref="F15"/>
    </sheetView>
  </sheetViews>
  <sheetFormatPr defaultColWidth="12.5703125" defaultRowHeight="15.75" customHeight="1" x14ac:dyDescent="0.2"/>
  <cols>
    <col min="1" max="1" width="16.7109375" customWidth="1"/>
    <col min="2" max="2" width="8.42578125" customWidth="1"/>
    <col min="3" max="3" width="32.42578125" customWidth="1"/>
    <col min="4" max="4" width="24.140625" customWidth="1"/>
    <col min="5" max="5" width="21.42578125" customWidth="1"/>
    <col min="6" max="6" width="25.28515625" customWidth="1"/>
    <col min="7" max="7" width="27.5703125" customWidth="1"/>
    <col min="8" max="8" width="31.42578125" customWidth="1"/>
    <col min="9" max="9" width="15.85546875" customWidth="1"/>
    <col min="10" max="10" width="19.7109375" customWidth="1"/>
  </cols>
  <sheetData>
    <row r="1" spans="1:23" x14ac:dyDescent="0.2">
      <c r="A1" s="3" t="s">
        <v>0</v>
      </c>
      <c r="B1" s="4" t="s">
        <v>1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3" t="s">
        <v>40</v>
      </c>
      <c r="J1" s="3" t="s">
        <v>41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x14ac:dyDescent="0.2">
      <c r="A2" s="7" t="s">
        <v>2</v>
      </c>
      <c r="B2" s="8">
        <v>2022</v>
      </c>
      <c r="C2" s="9">
        <v>0</v>
      </c>
      <c r="D2" s="9">
        <v>0</v>
      </c>
      <c r="E2" s="9">
        <v>0</v>
      </c>
      <c r="F2" s="9">
        <v>0</v>
      </c>
      <c r="G2" s="10">
        <v>114024</v>
      </c>
      <c r="H2" s="10">
        <v>70352</v>
      </c>
      <c r="I2" s="10">
        <f t="shared" ref="I2:J2" si="0">SUM(C2, E2, G2)</f>
        <v>114024</v>
      </c>
      <c r="J2" s="10">
        <f t="shared" si="0"/>
        <v>70352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2">
      <c r="A3" s="7" t="s">
        <v>3</v>
      </c>
      <c r="B3" s="8">
        <v>2022</v>
      </c>
      <c r="C3" s="12">
        <v>0</v>
      </c>
      <c r="D3" s="12">
        <v>0</v>
      </c>
      <c r="E3" s="12">
        <v>196</v>
      </c>
      <c r="F3" s="12">
        <v>26</v>
      </c>
      <c r="G3" s="10">
        <v>97855</v>
      </c>
      <c r="H3" s="10">
        <v>86450</v>
      </c>
      <c r="I3" s="10">
        <f t="shared" ref="I3:J3" si="1">SUM(C3, E3, G3)</f>
        <v>98051</v>
      </c>
      <c r="J3" s="10">
        <f t="shared" si="1"/>
        <v>86476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x14ac:dyDescent="0.2">
      <c r="A4" s="7" t="s">
        <v>4</v>
      </c>
      <c r="B4" s="8">
        <v>2022</v>
      </c>
      <c r="C4" s="12">
        <v>0</v>
      </c>
      <c r="D4" s="12">
        <v>0</v>
      </c>
      <c r="E4" s="12">
        <v>0</v>
      </c>
      <c r="F4" s="12">
        <v>0</v>
      </c>
      <c r="G4" s="10">
        <v>24136</v>
      </c>
      <c r="H4" s="10">
        <v>15264</v>
      </c>
      <c r="I4" s="10">
        <f t="shared" ref="I4:J4" si="2">SUM(C4, E4, G4)</f>
        <v>24136</v>
      </c>
      <c r="J4" s="10">
        <f t="shared" si="2"/>
        <v>15264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x14ac:dyDescent="0.2">
      <c r="A5" s="7" t="s">
        <v>5</v>
      </c>
      <c r="B5" s="8">
        <v>2022</v>
      </c>
      <c r="C5" s="9">
        <v>0</v>
      </c>
      <c r="D5" s="9">
        <v>0</v>
      </c>
      <c r="E5" s="9">
        <v>0</v>
      </c>
      <c r="F5" s="9">
        <v>0</v>
      </c>
      <c r="G5" s="12">
        <v>4280</v>
      </c>
      <c r="H5" s="12">
        <v>1865</v>
      </c>
      <c r="I5" s="10">
        <f t="shared" ref="I5:J5" si="3">SUM(C5, E5, G5)</f>
        <v>4280</v>
      </c>
      <c r="J5" s="10">
        <f t="shared" si="3"/>
        <v>1865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x14ac:dyDescent="0.2">
      <c r="A6" s="7" t="s">
        <v>7</v>
      </c>
      <c r="B6" s="8">
        <v>2022</v>
      </c>
      <c r="C6" s="12">
        <v>500</v>
      </c>
      <c r="D6" s="12">
        <v>23</v>
      </c>
      <c r="E6" s="12">
        <v>0</v>
      </c>
      <c r="F6" s="12">
        <v>0</v>
      </c>
      <c r="G6" s="10">
        <v>30986</v>
      </c>
      <c r="H6" s="10">
        <v>18971</v>
      </c>
      <c r="I6" s="10">
        <f t="shared" ref="I6:J6" si="4">SUM(C6, E6, G6)</f>
        <v>31486</v>
      </c>
      <c r="J6" s="10">
        <f t="shared" si="4"/>
        <v>18994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x14ac:dyDescent="0.2">
      <c r="A7" s="7" t="s">
        <v>8</v>
      </c>
      <c r="B7" s="8">
        <v>2022</v>
      </c>
      <c r="C7" s="9">
        <v>0</v>
      </c>
      <c r="D7" s="9">
        <v>0</v>
      </c>
      <c r="E7" s="9">
        <v>0</v>
      </c>
      <c r="F7" s="9">
        <v>0</v>
      </c>
      <c r="G7" s="10">
        <v>267245</v>
      </c>
      <c r="H7" s="10">
        <v>208043</v>
      </c>
      <c r="I7" s="10">
        <f t="shared" ref="I7:J7" si="5">SUM(C7, E7, G7)</f>
        <v>267245</v>
      </c>
      <c r="J7" s="10">
        <f t="shared" si="5"/>
        <v>208043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x14ac:dyDescent="0.2">
      <c r="A8" s="7" t="s">
        <v>9</v>
      </c>
      <c r="B8" s="8">
        <v>2022</v>
      </c>
      <c r="C8" s="12">
        <v>0</v>
      </c>
      <c r="D8" s="12">
        <v>0</v>
      </c>
      <c r="E8" s="12">
        <v>262</v>
      </c>
      <c r="F8" s="12">
        <v>20</v>
      </c>
      <c r="G8" s="10">
        <v>90953</v>
      </c>
      <c r="H8" s="10">
        <v>59837</v>
      </c>
      <c r="I8" s="10">
        <f t="shared" ref="I8:J8" si="6">SUM(C8, E8, G8)</f>
        <v>91215</v>
      </c>
      <c r="J8" s="10">
        <f t="shared" si="6"/>
        <v>59857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x14ac:dyDescent="0.2">
      <c r="A9" s="7" t="s">
        <v>10</v>
      </c>
      <c r="B9" s="8">
        <v>2022</v>
      </c>
      <c r="C9" s="9">
        <v>0</v>
      </c>
      <c r="D9" s="9">
        <v>0</v>
      </c>
      <c r="E9" s="9">
        <v>0</v>
      </c>
      <c r="F9" s="9">
        <v>0</v>
      </c>
      <c r="G9" s="10">
        <v>155166</v>
      </c>
      <c r="H9" s="10">
        <v>113739</v>
      </c>
      <c r="I9" s="10">
        <f t="shared" ref="I9:J9" si="7">SUM(C9, E9, G9)</f>
        <v>155166</v>
      </c>
      <c r="J9" s="10">
        <f t="shared" si="7"/>
        <v>113739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x14ac:dyDescent="0.2">
      <c r="A10" s="7" t="s">
        <v>42</v>
      </c>
      <c r="B10" s="8">
        <v>2022</v>
      </c>
      <c r="C10" s="9">
        <v>0</v>
      </c>
      <c r="D10" s="9">
        <v>0</v>
      </c>
      <c r="E10" s="9">
        <v>0</v>
      </c>
      <c r="F10" s="9">
        <v>0</v>
      </c>
      <c r="G10" s="10">
        <v>236</v>
      </c>
      <c r="H10" s="10">
        <v>59</v>
      </c>
      <c r="I10" s="10">
        <f t="shared" ref="I10:J10" si="8">SUM(C10, E10, G10)</f>
        <v>236</v>
      </c>
      <c r="J10" s="10">
        <f t="shared" si="8"/>
        <v>59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x14ac:dyDescent="0.2">
      <c r="A11" s="7" t="s">
        <v>6</v>
      </c>
      <c r="B11" s="8">
        <v>2022</v>
      </c>
      <c r="C11" s="9">
        <v>0</v>
      </c>
      <c r="D11" s="9">
        <v>0</v>
      </c>
      <c r="E11" s="9">
        <v>0</v>
      </c>
      <c r="F11" s="9">
        <v>0</v>
      </c>
      <c r="G11" s="10">
        <v>18</v>
      </c>
      <c r="H11" s="9">
        <v>0</v>
      </c>
      <c r="I11" s="10">
        <f t="shared" ref="I11:J11" si="9">SUM(C11, E11, G11)</f>
        <v>18</v>
      </c>
      <c r="J11" s="10">
        <f t="shared" si="9"/>
        <v>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2">
      <c r="A12" s="7" t="s">
        <v>11</v>
      </c>
      <c r="B12" s="8">
        <v>2022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f t="shared" ref="I12:J12" si="10">SUM(C12, E12, G12)</f>
        <v>0</v>
      </c>
      <c r="J12" s="10">
        <f t="shared" si="10"/>
        <v>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x14ac:dyDescent="0.2">
      <c r="A13" s="7" t="s">
        <v>12</v>
      </c>
      <c r="B13" s="8">
        <v>2022</v>
      </c>
      <c r="C13" s="12">
        <v>0</v>
      </c>
      <c r="D13" s="12">
        <v>0</v>
      </c>
      <c r="E13" s="12">
        <v>68</v>
      </c>
      <c r="F13" s="12">
        <v>1</v>
      </c>
      <c r="G13" s="10">
        <v>52363</v>
      </c>
      <c r="H13" s="10">
        <v>23617</v>
      </c>
      <c r="I13" s="10">
        <f t="shared" ref="I13:J13" si="11">SUM(C13, E13, G13)</f>
        <v>52431</v>
      </c>
      <c r="J13" s="10">
        <f t="shared" si="11"/>
        <v>23618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2">
      <c r="A14" s="7" t="s">
        <v>14</v>
      </c>
      <c r="B14" s="8">
        <v>2022</v>
      </c>
      <c r="C14" s="10">
        <v>821</v>
      </c>
      <c r="D14" s="10">
        <v>354</v>
      </c>
      <c r="E14" s="10">
        <v>556</v>
      </c>
      <c r="F14" s="10">
        <v>77</v>
      </c>
      <c r="G14" s="10">
        <v>47420</v>
      </c>
      <c r="H14" s="10">
        <v>25541</v>
      </c>
      <c r="I14" s="10">
        <f t="shared" ref="I14:J14" si="12">SUM(C14, E14, G14)</f>
        <v>48797</v>
      </c>
      <c r="J14" s="10">
        <f t="shared" si="12"/>
        <v>25972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">
      <c r="A15" s="7" t="s">
        <v>43</v>
      </c>
      <c r="B15" s="8">
        <v>2022</v>
      </c>
      <c r="C15" s="9">
        <v>0</v>
      </c>
      <c r="D15" s="9">
        <v>0</v>
      </c>
      <c r="E15" s="9">
        <v>0</v>
      </c>
      <c r="F15" s="9">
        <v>0</v>
      </c>
      <c r="G15" s="10">
        <v>1780</v>
      </c>
      <c r="H15" s="10">
        <v>536</v>
      </c>
      <c r="I15" s="10">
        <f t="shared" ref="I15:J15" si="13">SUM(C15, E15, G15)</f>
        <v>1780</v>
      </c>
      <c r="J15" s="10">
        <f t="shared" si="13"/>
        <v>536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x14ac:dyDescent="0.2">
      <c r="A16" s="7" t="s">
        <v>15</v>
      </c>
      <c r="B16" s="8">
        <v>2022</v>
      </c>
      <c r="C16" s="10">
        <v>10246</v>
      </c>
      <c r="D16" s="10">
        <v>2505</v>
      </c>
      <c r="E16" s="10">
        <v>5440</v>
      </c>
      <c r="F16" s="10">
        <v>881</v>
      </c>
      <c r="G16" s="10">
        <v>75568</v>
      </c>
      <c r="H16" s="10">
        <v>44608</v>
      </c>
      <c r="I16" s="10">
        <f t="shared" ref="I16:J16" si="14">SUM(C16, E16, G16)</f>
        <v>91254</v>
      </c>
      <c r="J16" s="10">
        <f t="shared" si="14"/>
        <v>47994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">
      <c r="A17" s="7" t="s">
        <v>13</v>
      </c>
      <c r="B17" s="8">
        <v>2022</v>
      </c>
      <c r="C17" s="12">
        <v>0</v>
      </c>
      <c r="D17" s="12">
        <v>0</v>
      </c>
      <c r="E17" s="12">
        <v>0</v>
      </c>
      <c r="F17" s="12">
        <v>0</v>
      </c>
      <c r="G17" s="10">
        <v>6243</v>
      </c>
      <c r="H17" s="10">
        <v>2062</v>
      </c>
      <c r="I17" s="10">
        <f t="shared" ref="I17:J17" si="15">SUM(C17, E17, G17)</f>
        <v>6243</v>
      </c>
      <c r="J17" s="10">
        <f t="shared" si="15"/>
        <v>2062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">
      <c r="A18" s="7" t="s">
        <v>16</v>
      </c>
      <c r="B18" s="8">
        <v>2022</v>
      </c>
      <c r="C18" s="10">
        <v>18</v>
      </c>
      <c r="D18" s="10">
        <v>4</v>
      </c>
      <c r="E18" s="9">
        <v>0</v>
      </c>
      <c r="F18" s="9">
        <v>0</v>
      </c>
      <c r="G18" s="10">
        <v>33816</v>
      </c>
      <c r="H18" s="10">
        <v>15137</v>
      </c>
      <c r="I18" s="10">
        <f t="shared" ref="I18:J18" si="16">SUM(C18, E18, G18)</f>
        <v>33834</v>
      </c>
      <c r="J18" s="10">
        <f t="shared" si="16"/>
        <v>15141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2">
      <c r="A19" s="7" t="s">
        <v>17</v>
      </c>
      <c r="B19" s="8">
        <v>2022</v>
      </c>
      <c r="C19" s="9">
        <v>0</v>
      </c>
      <c r="D19" s="9">
        <v>0</v>
      </c>
      <c r="E19" s="9">
        <v>0</v>
      </c>
      <c r="F19" s="9">
        <v>0</v>
      </c>
      <c r="G19" s="10">
        <v>13829</v>
      </c>
      <c r="H19" s="10">
        <v>6384</v>
      </c>
      <c r="I19" s="10">
        <f t="shared" ref="I19:J19" si="17">SUM(C19, E19, G19)</f>
        <v>13829</v>
      </c>
      <c r="J19" s="10">
        <f t="shared" si="17"/>
        <v>6384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">
      <c r="A20" s="7" t="s">
        <v>18</v>
      </c>
      <c r="B20" s="8">
        <v>2022</v>
      </c>
      <c r="C20" s="9">
        <v>0</v>
      </c>
      <c r="D20" s="9">
        <v>0</v>
      </c>
      <c r="E20" s="10">
        <v>242</v>
      </c>
      <c r="F20" s="10">
        <v>8</v>
      </c>
      <c r="G20" s="10">
        <v>75284</v>
      </c>
      <c r="H20" s="10">
        <v>25629</v>
      </c>
      <c r="I20" s="10">
        <f t="shared" ref="I20:J20" si="18">SUM(C20, E20, G20)</f>
        <v>75526</v>
      </c>
      <c r="J20" s="10">
        <f t="shared" si="18"/>
        <v>25637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2">
      <c r="A21" s="7" t="s">
        <v>19</v>
      </c>
      <c r="B21" s="8">
        <v>2022</v>
      </c>
      <c r="C21" s="9">
        <v>0</v>
      </c>
      <c r="D21" s="12">
        <v>0</v>
      </c>
      <c r="E21" s="12">
        <v>0</v>
      </c>
      <c r="F21" s="12">
        <v>0</v>
      </c>
      <c r="G21" s="10">
        <v>7631</v>
      </c>
      <c r="H21" s="10">
        <v>3153</v>
      </c>
      <c r="I21" s="10">
        <f t="shared" ref="I21:J21" si="19">SUM(C21, E21, G21)</f>
        <v>7631</v>
      </c>
      <c r="J21" s="10">
        <f t="shared" si="19"/>
        <v>3153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2">
      <c r="A22" s="7" t="s">
        <v>20</v>
      </c>
      <c r="B22" s="8">
        <v>2022</v>
      </c>
      <c r="C22" s="9">
        <v>0</v>
      </c>
      <c r="D22" s="12">
        <v>0</v>
      </c>
      <c r="E22" s="12">
        <v>0</v>
      </c>
      <c r="F22" s="12">
        <v>0</v>
      </c>
      <c r="G22" s="10">
        <v>2129</v>
      </c>
      <c r="H22" s="10">
        <v>236</v>
      </c>
      <c r="I22" s="10">
        <f t="shared" ref="I22:J22" si="20">SUM(C22, E22, G22)</f>
        <v>2129</v>
      </c>
      <c r="J22" s="10">
        <f t="shared" si="20"/>
        <v>236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">
      <c r="A23" s="7" t="s">
        <v>21</v>
      </c>
      <c r="B23" s="8">
        <v>2022</v>
      </c>
      <c r="C23" s="9">
        <v>0</v>
      </c>
      <c r="D23" s="12">
        <v>0</v>
      </c>
      <c r="E23" s="12">
        <v>0</v>
      </c>
      <c r="F23" s="9">
        <v>0</v>
      </c>
      <c r="G23" s="10">
        <v>2215</v>
      </c>
      <c r="H23" s="10">
        <v>765</v>
      </c>
      <c r="I23" s="10">
        <f t="shared" ref="I23:J23" si="21">SUM(C23, E23, G23)</f>
        <v>2215</v>
      </c>
      <c r="J23" s="10">
        <f t="shared" si="21"/>
        <v>765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2">
      <c r="A24" s="7" t="s">
        <v>22</v>
      </c>
      <c r="B24" s="8">
        <v>2022</v>
      </c>
      <c r="C24" s="9">
        <v>0</v>
      </c>
      <c r="D24" s="9">
        <v>0</v>
      </c>
      <c r="E24" s="9">
        <v>0</v>
      </c>
      <c r="F24" s="9">
        <v>0</v>
      </c>
      <c r="G24" s="10">
        <v>1362</v>
      </c>
      <c r="H24" s="10">
        <v>164</v>
      </c>
      <c r="I24" s="10">
        <f t="shared" ref="I24:J24" si="22">SUM(C24, E24, G24)</f>
        <v>1362</v>
      </c>
      <c r="J24" s="10">
        <f t="shared" si="22"/>
        <v>164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2">
      <c r="A25" s="7" t="s">
        <v>23</v>
      </c>
      <c r="B25" s="8">
        <v>2022</v>
      </c>
      <c r="C25" s="9">
        <v>0</v>
      </c>
      <c r="D25" s="9">
        <v>0</v>
      </c>
      <c r="E25" s="9">
        <v>0</v>
      </c>
      <c r="F25" s="9">
        <v>0</v>
      </c>
      <c r="G25" s="10">
        <v>999</v>
      </c>
      <c r="H25" s="10">
        <v>193</v>
      </c>
      <c r="I25" s="10">
        <f t="shared" ref="I25:J25" si="23">SUM(C25, E25, G25)</f>
        <v>999</v>
      </c>
      <c r="J25" s="10">
        <f t="shared" si="23"/>
        <v>193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2">
      <c r="A26" s="7" t="s">
        <v>24</v>
      </c>
      <c r="B26" s="8">
        <v>2022</v>
      </c>
      <c r="C26" s="9">
        <v>0</v>
      </c>
      <c r="D26" s="9">
        <v>0</v>
      </c>
      <c r="E26" s="9">
        <v>0</v>
      </c>
      <c r="F26" s="9">
        <v>0</v>
      </c>
      <c r="G26" s="10">
        <v>7773</v>
      </c>
      <c r="H26" s="10">
        <v>3631</v>
      </c>
      <c r="I26" s="10">
        <f t="shared" ref="I26:J26" si="24">SUM(C26, E26, G26)</f>
        <v>7773</v>
      </c>
      <c r="J26" s="10">
        <f t="shared" si="24"/>
        <v>3631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2">
      <c r="A27" s="7" t="s">
        <v>26</v>
      </c>
      <c r="B27" s="8">
        <v>2022</v>
      </c>
      <c r="C27" s="9">
        <v>0</v>
      </c>
      <c r="D27" s="9">
        <v>0</v>
      </c>
      <c r="E27" s="9">
        <v>0</v>
      </c>
      <c r="F27" s="9">
        <v>0</v>
      </c>
      <c r="G27" s="10">
        <v>11294</v>
      </c>
      <c r="H27" s="10">
        <v>3418</v>
      </c>
      <c r="I27" s="10">
        <f t="shared" ref="I27:J27" si="25">SUM(C27, E27, G27)</f>
        <v>11294</v>
      </c>
      <c r="J27" s="10">
        <f t="shared" si="25"/>
        <v>3418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2">
      <c r="A28" s="7" t="s">
        <v>27</v>
      </c>
      <c r="B28" s="8">
        <v>2022</v>
      </c>
      <c r="C28" s="12">
        <v>0</v>
      </c>
      <c r="D28" s="12">
        <v>0</v>
      </c>
      <c r="E28" s="12">
        <v>1230</v>
      </c>
      <c r="F28" s="12">
        <v>74</v>
      </c>
      <c r="G28" s="10">
        <v>77993</v>
      </c>
      <c r="H28" s="10">
        <v>30074</v>
      </c>
      <c r="I28" s="10">
        <f t="shared" ref="I28:J28" si="26">SUM(C28, E28, G28)</f>
        <v>79223</v>
      </c>
      <c r="J28" s="10">
        <f t="shared" si="26"/>
        <v>30148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2">
      <c r="A29" s="7" t="s">
        <v>29</v>
      </c>
      <c r="B29" s="8">
        <v>2022</v>
      </c>
      <c r="C29" s="12">
        <v>0</v>
      </c>
      <c r="D29" s="12">
        <v>0</v>
      </c>
      <c r="E29" s="12">
        <v>0</v>
      </c>
      <c r="F29" s="12">
        <v>0</v>
      </c>
      <c r="G29" s="10">
        <v>9359</v>
      </c>
      <c r="H29" s="10">
        <v>2732</v>
      </c>
      <c r="I29" s="10">
        <f t="shared" ref="I29:J29" si="27">SUM(C29, E29, G29)</f>
        <v>9359</v>
      </c>
      <c r="J29" s="10">
        <f t="shared" si="27"/>
        <v>2732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2">
      <c r="A30" s="7" t="s">
        <v>25</v>
      </c>
      <c r="B30" s="8">
        <v>2022</v>
      </c>
      <c r="C30" s="9">
        <v>0</v>
      </c>
      <c r="D30" s="12">
        <v>0</v>
      </c>
      <c r="E30" s="12">
        <v>0</v>
      </c>
      <c r="F30" s="12">
        <v>0</v>
      </c>
      <c r="G30" s="10">
        <v>1299</v>
      </c>
      <c r="H30" s="10">
        <v>127</v>
      </c>
      <c r="I30" s="10">
        <f t="shared" ref="I30:J30" si="28">SUM(C30, E30, G30)</f>
        <v>1299</v>
      </c>
      <c r="J30" s="10">
        <f t="shared" si="28"/>
        <v>127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2">
      <c r="A31" s="7" t="s">
        <v>28</v>
      </c>
      <c r="B31" s="8">
        <v>2022</v>
      </c>
      <c r="C31" s="9">
        <v>0</v>
      </c>
      <c r="D31" s="12">
        <v>0</v>
      </c>
      <c r="E31" s="12">
        <v>0</v>
      </c>
      <c r="F31" s="12">
        <v>0</v>
      </c>
      <c r="G31" s="10">
        <v>16483</v>
      </c>
      <c r="H31" s="10">
        <v>4796</v>
      </c>
      <c r="I31" s="10">
        <f t="shared" ref="I31:J31" si="29">SUM(C31, E31, G31)</f>
        <v>16483</v>
      </c>
      <c r="J31" s="10">
        <f t="shared" si="29"/>
        <v>4796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2">
      <c r="A32" s="7" t="s">
        <v>30</v>
      </c>
      <c r="B32" s="8">
        <v>2022</v>
      </c>
      <c r="C32" s="9">
        <v>0</v>
      </c>
      <c r="D32" s="12">
        <v>0</v>
      </c>
      <c r="E32" s="12">
        <v>0</v>
      </c>
      <c r="F32" s="9">
        <v>0</v>
      </c>
      <c r="G32" s="10">
        <v>1259</v>
      </c>
      <c r="H32" s="10">
        <v>426</v>
      </c>
      <c r="I32" s="10">
        <f t="shared" ref="I32:J32" si="30">SUM(C32, E32, G32)</f>
        <v>1259</v>
      </c>
      <c r="J32" s="10">
        <f t="shared" si="30"/>
        <v>426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2">
      <c r="A33" s="7" t="s">
        <v>31</v>
      </c>
      <c r="B33" s="8">
        <v>2022</v>
      </c>
      <c r="C33" s="9">
        <v>0</v>
      </c>
      <c r="D33" s="9">
        <v>0</v>
      </c>
      <c r="E33" s="9">
        <v>0</v>
      </c>
      <c r="F33" s="9">
        <v>0</v>
      </c>
      <c r="G33" s="10">
        <v>402</v>
      </c>
      <c r="H33" s="10">
        <v>14</v>
      </c>
      <c r="I33" s="10">
        <f t="shared" ref="I33:J33" si="31">SUM(C33, E33, G33)</f>
        <v>402</v>
      </c>
      <c r="J33" s="10">
        <f t="shared" si="31"/>
        <v>14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2">
      <c r="A34" s="7" t="s">
        <v>33</v>
      </c>
      <c r="B34" s="8">
        <v>2022</v>
      </c>
      <c r="C34" s="12">
        <v>0</v>
      </c>
      <c r="D34" s="12">
        <v>0</v>
      </c>
      <c r="E34" s="12">
        <v>0</v>
      </c>
      <c r="F34" s="12">
        <v>0</v>
      </c>
      <c r="G34" s="10">
        <v>241</v>
      </c>
      <c r="H34" s="10">
        <v>8</v>
      </c>
      <c r="I34" s="10">
        <f t="shared" ref="I34:J34" si="32">SUM(C34, E34, G34)</f>
        <v>241</v>
      </c>
      <c r="J34" s="10">
        <f t="shared" si="32"/>
        <v>8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2">
      <c r="A35" s="7" t="s">
        <v>32</v>
      </c>
      <c r="B35" s="8">
        <v>2022</v>
      </c>
      <c r="C35" s="12">
        <v>0</v>
      </c>
      <c r="D35" s="12">
        <v>0</v>
      </c>
      <c r="E35" s="12">
        <v>0</v>
      </c>
      <c r="F35" s="12">
        <v>0</v>
      </c>
      <c r="G35" s="10">
        <v>14711</v>
      </c>
      <c r="H35" s="10">
        <v>3156</v>
      </c>
      <c r="I35" s="10">
        <f t="shared" ref="I35:J35" si="33">SUM(C35, E35, G35)</f>
        <v>14711</v>
      </c>
      <c r="J35" s="10">
        <f t="shared" si="33"/>
        <v>3156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2">
      <c r="A36" s="13" t="s">
        <v>2</v>
      </c>
      <c r="B36" s="14">
        <v>2021</v>
      </c>
      <c r="C36" s="15">
        <v>0</v>
      </c>
      <c r="D36" s="15">
        <v>0</v>
      </c>
      <c r="E36" s="15">
        <v>0</v>
      </c>
      <c r="F36" s="15">
        <v>0</v>
      </c>
      <c r="G36" s="16">
        <v>126408</v>
      </c>
      <c r="H36" s="16">
        <v>74328</v>
      </c>
      <c r="I36" s="10">
        <f t="shared" ref="I36:J36" si="34">SUM(C36, E36, G36)</f>
        <v>126408</v>
      </c>
      <c r="J36" s="10">
        <f t="shared" si="34"/>
        <v>74328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spans="1:23" x14ac:dyDescent="0.2">
      <c r="A37" s="7" t="s">
        <v>3</v>
      </c>
      <c r="B37" s="8">
        <v>2021</v>
      </c>
      <c r="C37" s="12">
        <v>0</v>
      </c>
      <c r="D37" s="12">
        <v>0</v>
      </c>
      <c r="E37" s="12">
        <v>0</v>
      </c>
      <c r="F37" s="12">
        <v>0</v>
      </c>
      <c r="G37" s="10">
        <v>97167</v>
      </c>
      <c r="H37" s="10">
        <v>80871</v>
      </c>
      <c r="I37" s="10">
        <f t="shared" ref="I37:J37" si="35">SUM(C37, E37, G37)</f>
        <v>97167</v>
      </c>
      <c r="J37" s="10">
        <f t="shared" si="35"/>
        <v>80871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">
      <c r="A38" s="7" t="s">
        <v>4</v>
      </c>
      <c r="B38" s="8">
        <v>2021</v>
      </c>
      <c r="C38" s="12">
        <v>0</v>
      </c>
      <c r="D38" s="12">
        <v>0</v>
      </c>
      <c r="E38" s="12">
        <v>0</v>
      </c>
      <c r="F38" s="12">
        <v>0</v>
      </c>
      <c r="G38" s="10">
        <v>23895</v>
      </c>
      <c r="H38" s="10">
        <v>14054</v>
      </c>
      <c r="I38" s="10">
        <f t="shared" ref="I38:J38" si="36">SUM(C38, E38, G38)</f>
        <v>23895</v>
      </c>
      <c r="J38" s="10">
        <f t="shared" si="36"/>
        <v>14054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2">
      <c r="A39" s="7" t="s">
        <v>5</v>
      </c>
      <c r="B39" s="8">
        <v>2021</v>
      </c>
      <c r="C39" s="9">
        <v>0</v>
      </c>
      <c r="D39" s="9">
        <v>0</v>
      </c>
      <c r="E39" s="9">
        <v>0</v>
      </c>
      <c r="F39" s="9">
        <v>0</v>
      </c>
      <c r="G39" s="12">
        <v>4382</v>
      </c>
      <c r="H39" s="12">
        <v>2417</v>
      </c>
      <c r="I39" s="10">
        <f t="shared" ref="I39:J39" si="37">SUM(C39, E39, G39)</f>
        <v>4382</v>
      </c>
      <c r="J39" s="10">
        <f t="shared" si="37"/>
        <v>2417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">
      <c r="A40" s="7" t="s">
        <v>7</v>
      </c>
      <c r="B40" s="8">
        <v>2021</v>
      </c>
      <c r="C40" s="12">
        <v>500</v>
      </c>
      <c r="D40" s="12">
        <v>24</v>
      </c>
      <c r="E40" s="12">
        <v>0</v>
      </c>
      <c r="F40" s="12">
        <v>0</v>
      </c>
      <c r="G40" s="10">
        <v>30855</v>
      </c>
      <c r="H40" s="10">
        <v>19198</v>
      </c>
      <c r="I40" s="10">
        <f t="shared" ref="I40:J40" si="38">SUM(C40, E40, G40)</f>
        <v>31355</v>
      </c>
      <c r="J40" s="10">
        <f t="shared" si="38"/>
        <v>19222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">
      <c r="A41" s="7" t="s">
        <v>8</v>
      </c>
      <c r="B41" s="8">
        <v>2021</v>
      </c>
      <c r="C41" s="9">
        <v>0</v>
      </c>
      <c r="D41" s="9">
        <v>0</v>
      </c>
      <c r="E41" s="9">
        <v>0</v>
      </c>
      <c r="F41" s="9">
        <v>0</v>
      </c>
      <c r="G41" s="10">
        <v>267784</v>
      </c>
      <c r="H41" s="10">
        <v>211681</v>
      </c>
      <c r="I41" s="10">
        <f t="shared" ref="I41:J41" si="39">SUM(C41, E41, G41)</f>
        <v>267784</v>
      </c>
      <c r="J41" s="10">
        <f t="shared" si="39"/>
        <v>211681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">
      <c r="A42" s="7" t="s">
        <v>9</v>
      </c>
      <c r="B42" s="8">
        <v>2021</v>
      </c>
      <c r="C42" s="12">
        <v>0</v>
      </c>
      <c r="D42" s="12">
        <v>0</v>
      </c>
      <c r="E42" s="12">
        <v>461</v>
      </c>
      <c r="F42" s="12">
        <v>256</v>
      </c>
      <c r="G42" s="10">
        <v>92776</v>
      </c>
      <c r="H42" s="10">
        <v>62593</v>
      </c>
      <c r="I42" s="10">
        <f t="shared" ref="I42:J42" si="40">SUM(C42, E42, G42)</f>
        <v>93237</v>
      </c>
      <c r="J42" s="10">
        <f t="shared" si="40"/>
        <v>62849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2">
      <c r="A43" s="7" t="s">
        <v>10</v>
      </c>
      <c r="B43" s="8">
        <v>2021</v>
      </c>
      <c r="C43" s="9">
        <v>0</v>
      </c>
      <c r="D43" s="9">
        <v>0</v>
      </c>
      <c r="E43" s="9">
        <v>0</v>
      </c>
      <c r="F43" s="9">
        <v>0</v>
      </c>
      <c r="G43" s="10">
        <v>156474</v>
      </c>
      <c r="H43" s="10">
        <v>116281</v>
      </c>
      <c r="I43" s="10">
        <f t="shared" ref="I43:J43" si="41">SUM(C43, E43, G43)</f>
        <v>156474</v>
      </c>
      <c r="J43" s="10">
        <f t="shared" si="41"/>
        <v>116281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">
      <c r="A44" s="7" t="s">
        <v>42</v>
      </c>
      <c r="B44" s="8">
        <v>2021</v>
      </c>
      <c r="C44" s="9">
        <v>0</v>
      </c>
      <c r="D44" s="9">
        <v>0</v>
      </c>
      <c r="E44" s="9">
        <v>0</v>
      </c>
      <c r="F44" s="9">
        <v>0</v>
      </c>
      <c r="G44" s="10">
        <v>158</v>
      </c>
      <c r="H44" s="10">
        <v>39</v>
      </c>
      <c r="I44" s="10">
        <f t="shared" ref="I44:J44" si="42">SUM(C44, E44, G44)</f>
        <v>158</v>
      </c>
      <c r="J44" s="10">
        <f t="shared" si="42"/>
        <v>39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2">
      <c r="A45" s="7" t="s">
        <v>6</v>
      </c>
      <c r="B45" s="8">
        <v>2021</v>
      </c>
      <c r="C45" s="9">
        <v>0</v>
      </c>
      <c r="D45" s="9">
        <v>0</v>
      </c>
      <c r="E45" s="9">
        <v>0</v>
      </c>
      <c r="F45" s="9">
        <v>0</v>
      </c>
      <c r="G45" s="10">
        <v>22</v>
      </c>
      <c r="H45" s="10">
        <v>0</v>
      </c>
      <c r="I45" s="10">
        <f t="shared" ref="I45:J45" si="43">SUM(C45, E45, G45)</f>
        <v>22</v>
      </c>
      <c r="J45" s="10">
        <f t="shared" si="43"/>
        <v>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">
      <c r="A46" s="7" t="s">
        <v>11</v>
      </c>
      <c r="B46" s="8">
        <v>2021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10">
        <f t="shared" ref="I46:J46" si="44">SUM(C46, E46, G46)</f>
        <v>0</v>
      </c>
      <c r="J46" s="10">
        <f t="shared" si="44"/>
        <v>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2">
      <c r="A47" s="7" t="s">
        <v>12</v>
      </c>
      <c r="B47" s="8">
        <v>2021</v>
      </c>
      <c r="C47" s="12">
        <v>0</v>
      </c>
      <c r="D47" s="12">
        <v>0</v>
      </c>
      <c r="E47" s="12">
        <v>154</v>
      </c>
      <c r="F47" s="12">
        <v>5</v>
      </c>
      <c r="G47" s="10">
        <v>51626</v>
      </c>
      <c r="H47" s="10">
        <v>24328</v>
      </c>
      <c r="I47" s="10">
        <f t="shared" ref="I47:J47" si="45">SUM(C47, E47, G47)</f>
        <v>51780</v>
      </c>
      <c r="J47" s="10">
        <f t="shared" si="45"/>
        <v>24333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2">
      <c r="A48" s="7" t="s">
        <v>14</v>
      </c>
      <c r="B48" s="8">
        <v>2021</v>
      </c>
      <c r="C48" s="10">
        <v>938</v>
      </c>
      <c r="D48" s="10">
        <v>615</v>
      </c>
      <c r="E48" s="10">
        <v>192</v>
      </c>
      <c r="F48" s="10">
        <v>66</v>
      </c>
      <c r="G48" s="10">
        <v>47720</v>
      </c>
      <c r="H48" s="10">
        <v>26550</v>
      </c>
      <c r="I48" s="10">
        <f t="shared" ref="I48:J48" si="46">SUM(C48, E48, G48)</f>
        <v>48850</v>
      </c>
      <c r="J48" s="10">
        <f t="shared" si="46"/>
        <v>27231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">
      <c r="A49" s="7" t="s">
        <v>43</v>
      </c>
      <c r="B49" s="8">
        <v>2021</v>
      </c>
      <c r="C49" s="9">
        <v>0</v>
      </c>
      <c r="D49" s="9">
        <v>0</v>
      </c>
      <c r="E49" s="9">
        <v>0</v>
      </c>
      <c r="F49" s="9">
        <v>0</v>
      </c>
      <c r="G49" s="10">
        <v>1746</v>
      </c>
      <c r="H49" s="10">
        <v>526</v>
      </c>
      <c r="I49" s="10">
        <f t="shared" ref="I49:J49" si="47">SUM(C49, E49, G49)</f>
        <v>1746</v>
      </c>
      <c r="J49" s="10">
        <f t="shared" si="47"/>
        <v>526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x14ac:dyDescent="0.2">
      <c r="A50" s="7" t="s">
        <v>15</v>
      </c>
      <c r="B50" s="8">
        <v>2021</v>
      </c>
      <c r="C50" s="10">
        <v>11863</v>
      </c>
      <c r="D50" s="10">
        <v>3481</v>
      </c>
      <c r="E50" s="10">
        <v>4627</v>
      </c>
      <c r="F50" s="10">
        <v>751</v>
      </c>
      <c r="G50" s="10">
        <v>72729</v>
      </c>
      <c r="H50" s="10">
        <v>41682</v>
      </c>
      <c r="I50" s="10">
        <f t="shared" ref="I50:J50" si="48">SUM(C50, E50, G50)</f>
        <v>89219</v>
      </c>
      <c r="J50" s="10">
        <f t="shared" si="48"/>
        <v>45914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">
      <c r="A51" s="7" t="s">
        <v>13</v>
      </c>
      <c r="B51" s="8">
        <v>2021</v>
      </c>
      <c r="C51" s="12">
        <v>0</v>
      </c>
      <c r="D51" s="12">
        <v>0</v>
      </c>
      <c r="E51" s="12">
        <v>0</v>
      </c>
      <c r="F51" s="12">
        <v>0</v>
      </c>
      <c r="G51" s="10">
        <v>6240</v>
      </c>
      <c r="H51" s="10">
        <v>2003</v>
      </c>
      <c r="I51" s="10">
        <f t="shared" ref="I51:J51" si="49">SUM(C51, E51, G51)</f>
        <v>6240</v>
      </c>
      <c r="J51" s="10">
        <f t="shared" si="49"/>
        <v>2003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">
      <c r="A52" s="7" t="s">
        <v>16</v>
      </c>
      <c r="B52" s="8">
        <v>2021</v>
      </c>
      <c r="C52" s="10">
        <v>14</v>
      </c>
      <c r="D52" s="10">
        <v>5</v>
      </c>
      <c r="E52" s="9">
        <v>0</v>
      </c>
      <c r="F52" s="9">
        <v>0</v>
      </c>
      <c r="G52" s="10">
        <v>33978</v>
      </c>
      <c r="H52" s="10">
        <v>15575</v>
      </c>
      <c r="I52" s="10">
        <f t="shared" ref="I52:J52" si="50">SUM(C52, E52, G52)</f>
        <v>33992</v>
      </c>
      <c r="J52" s="10">
        <f t="shared" si="50"/>
        <v>15580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">
      <c r="A53" s="7" t="s">
        <v>17</v>
      </c>
      <c r="B53" s="8">
        <v>2021</v>
      </c>
      <c r="C53" s="9">
        <v>0</v>
      </c>
      <c r="D53" s="9">
        <v>0</v>
      </c>
      <c r="E53" s="9">
        <v>0</v>
      </c>
      <c r="F53" s="9">
        <v>0</v>
      </c>
      <c r="G53" s="10">
        <v>13785</v>
      </c>
      <c r="H53" s="10">
        <v>6328</v>
      </c>
      <c r="I53" s="10">
        <f t="shared" ref="I53:J53" si="51">SUM(C53, E53, G53)</f>
        <v>13785</v>
      </c>
      <c r="J53" s="10">
        <f t="shared" si="51"/>
        <v>6328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2">
      <c r="A54" s="7" t="s">
        <v>18</v>
      </c>
      <c r="B54" s="8">
        <v>2021</v>
      </c>
      <c r="C54" s="9">
        <v>0</v>
      </c>
      <c r="D54" s="9">
        <v>0</v>
      </c>
      <c r="E54" s="10">
        <v>1665</v>
      </c>
      <c r="F54" s="10">
        <v>5</v>
      </c>
      <c r="G54" s="10">
        <v>76424</v>
      </c>
      <c r="H54" s="10">
        <v>25868</v>
      </c>
      <c r="I54" s="10">
        <f t="shared" ref="I54:J54" si="52">SUM(C54, E54, G54)</f>
        <v>78089</v>
      </c>
      <c r="J54" s="10">
        <f t="shared" si="52"/>
        <v>25873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2">
      <c r="A55" s="7" t="s">
        <v>19</v>
      </c>
      <c r="B55" s="8">
        <v>2021</v>
      </c>
      <c r="C55" s="9">
        <v>0</v>
      </c>
      <c r="D55" s="12">
        <v>0</v>
      </c>
      <c r="E55" s="12">
        <v>0</v>
      </c>
      <c r="F55" s="12">
        <v>0</v>
      </c>
      <c r="G55" s="10">
        <v>8044</v>
      </c>
      <c r="H55" s="10">
        <v>3138</v>
      </c>
      <c r="I55" s="10">
        <f t="shared" ref="I55:J55" si="53">SUM(C55, E55, G55)</f>
        <v>8044</v>
      </c>
      <c r="J55" s="10">
        <f t="shared" si="53"/>
        <v>3138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2">
      <c r="A56" s="7" t="s">
        <v>20</v>
      </c>
      <c r="B56" s="8">
        <v>2021</v>
      </c>
      <c r="C56" s="9">
        <v>0</v>
      </c>
      <c r="D56" s="12">
        <v>0</v>
      </c>
      <c r="E56" s="12">
        <v>0</v>
      </c>
      <c r="F56" s="12">
        <v>0</v>
      </c>
      <c r="G56" s="10">
        <v>2366</v>
      </c>
      <c r="H56" s="10">
        <v>369</v>
      </c>
      <c r="I56" s="10">
        <f t="shared" ref="I56:J56" si="54">SUM(C56, E56, G56)</f>
        <v>2366</v>
      </c>
      <c r="J56" s="10">
        <f t="shared" si="54"/>
        <v>369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2">
      <c r="A57" s="7" t="s">
        <v>21</v>
      </c>
      <c r="B57" s="8">
        <v>2021</v>
      </c>
      <c r="C57" s="9">
        <v>0</v>
      </c>
      <c r="D57" s="12">
        <v>0</v>
      </c>
      <c r="E57" s="12">
        <v>0</v>
      </c>
      <c r="F57" s="9">
        <v>0</v>
      </c>
      <c r="G57" s="10">
        <v>2685</v>
      </c>
      <c r="H57" s="10">
        <v>1021</v>
      </c>
      <c r="I57" s="10">
        <f t="shared" ref="I57:J57" si="55">SUM(C57, E57, G57)</f>
        <v>2685</v>
      </c>
      <c r="J57" s="10">
        <f t="shared" si="55"/>
        <v>1021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2">
      <c r="A58" s="7" t="s">
        <v>22</v>
      </c>
      <c r="B58" s="8">
        <v>2021</v>
      </c>
      <c r="C58" s="9">
        <v>0</v>
      </c>
      <c r="D58" s="9">
        <v>0</v>
      </c>
      <c r="E58" s="9">
        <v>0</v>
      </c>
      <c r="F58" s="9">
        <v>0</v>
      </c>
      <c r="G58" s="10">
        <v>1488</v>
      </c>
      <c r="H58" s="10">
        <v>172</v>
      </c>
      <c r="I58" s="10">
        <f t="shared" ref="I58:J58" si="56">SUM(C58, E58, G58)</f>
        <v>1488</v>
      </c>
      <c r="J58" s="10">
        <f t="shared" si="56"/>
        <v>172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">
      <c r="A59" s="7" t="s">
        <v>23</v>
      </c>
      <c r="B59" s="8">
        <v>2021</v>
      </c>
      <c r="C59" s="9">
        <v>0</v>
      </c>
      <c r="D59" s="9">
        <v>0</v>
      </c>
      <c r="E59" s="9">
        <v>0</v>
      </c>
      <c r="F59" s="9">
        <v>0</v>
      </c>
      <c r="G59" s="10">
        <v>1291</v>
      </c>
      <c r="H59" s="10">
        <v>117</v>
      </c>
      <c r="I59" s="10">
        <f t="shared" ref="I59:J59" si="57">SUM(C59, E59, G59)</f>
        <v>1291</v>
      </c>
      <c r="J59" s="10">
        <f t="shared" si="57"/>
        <v>117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">
      <c r="A60" s="7" t="s">
        <v>24</v>
      </c>
      <c r="B60" s="8">
        <v>2021</v>
      </c>
      <c r="C60" s="9">
        <v>0</v>
      </c>
      <c r="D60" s="9">
        <v>0</v>
      </c>
      <c r="E60" s="9">
        <v>0</v>
      </c>
      <c r="F60" s="9">
        <v>0</v>
      </c>
      <c r="G60" s="10">
        <v>8022</v>
      </c>
      <c r="H60" s="10">
        <v>3730</v>
      </c>
      <c r="I60" s="10">
        <f t="shared" ref="I60:J60" si="58">SUM(C60, E60, G60)</f>
        <v>8022</v>
      </c>
      <c r="J60" s="10">
        <f t="shared" si="58"/>
        <v>3730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x14ac:dyDescent="0.2">
      <c r="A61" s="7" t="s">
        <v>26</v>
      </c>
      <c r="B61" s="8">
        <v>2021</v>
      </c>
      <c r="C61" s="9">
        <v>0</v>
      </c>
      <c r="D61" s="9">
        <v>0</v>
      </c>
      <c r="E61" s="9">
        <v>0</v>
      </c>
      <c r="F61" s="9">
        <v>0</v>
      </c>
      <c r="G61" s="10">
        <v>10807</v>
      </c>
      <c r="H61" s="10">
        <v>2993</v>
      </c>
      <c r="I61" s="10">
        <f t="shared" ref="I61:J61" si="59">SUM(C61, E61, G61)</f>
        <v>10807</v>
      </c>
      <c r="J61" s="10">
        <f t="shared" si="59"/>
        <v>2993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x14ac:dyDescent="0.2">
      <c r="A62" s="7" t="s">
        <v>27</v>
      </c>
      <c r="B62" s="8">
        <v>2021</v>
      </c>
      <c r="C62" s="12">
        <v>0</v>
      </c>
      <c r="D62" s="12">
        <v>0</v>
      </c>
      <c r="E62" s="12">
        <v>1365</v>
      </c>
      <c r="F62" s="12">
        <v>114</v>
      </c>
      <c r="G62" s="10">
        <v>76226</v>
      </c>
      <c r="H62" s="10">
        <v>34129</v>
      </c>
      <c r="I62" s="10">
        <f t="shared" ref="I62:J62" si="60">SUM(C62, E62, G62)</f>
        <v>77591</v>
      </c>
      <c r="J62" s="10">
        <f t="shared" si="60"/>
        <v>34243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x14ac:dyDescent="0.2">
      <c r="A63" s="7" t="s">
        <v>29</v>
      </c>
      <c r="B63" s="8">
        <v>2021</v>
      </c>
      <c r="C63" s="12">
        <v>0</v>
      </c>
      <c r="D63" s="12">
        <v>0</v>
      </c>
      <c r="E63" s="12">
        <v>0</v>
      </c>
      <c r="F63" s="12">
        <v>0</v>
      </c>
      <c r="G63" s="10">
        <v>9076</v>
      </c>
      <c r="H63" s="10">
        <v>2776</v>
      </c>
      <c r="I63" s="10">
        <f t="shared" ref="I63:J63" si="61">SUM(C63, E63, G63)</f>
        <v>9076</v>
      </c>
      <c r="J63" s="10">
        <f t="shared" si="61"/>
        <v>2776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">
      <c r="A64" s="7" t="s">
        <v>25</v>
      </c>
      <c r="B64" s="8">
        <v>2021</v>
      </c>
      <c r="C64" s="9">
        <v>0</v>
      </c>
      <c r="D64" s="12">
        <v>0</v>
      </c>
      <c r="E64" s="12">
        <v>0</v>
      </c>
      <c r="F64" s="12">
        <v>0</v>
      </c>
      <c r="G64" s="10">
        <v>1302</v>
      </c>
      <c r="H64" s="10">
        <v>130</v>
      </c>
      <c r="I64" s="10">
        <f t="shared" ref="I64:J64" si="62">SUM(C64, E64, G64)</f>
        <v>1302</v>
      </c>
      <c r="J64" s="10">
        <f t="shared" si="62"/>
        <v>130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">
      <c r="A65" s="7" t="s">
        <v>28</v>
      </c>
      <c r="B65" s="8">
        <v>2021</v>
      </c>
      <c r="C65" s="9">
        <v>0</v>
      </c>
      <c r="D65" s="12">
        <v>0</v>
      </c>
      <c r="E65" s="12">
        <v>0</v>
      </c>
      <c r="F65" s="12">
        <v>0</v>
      </c>
      <c r="G65" s="10">
        <v>16443</v>
      </c>
      <c r="H65" s="10">
        <v>4673</v>
      </c>
      <c r="I65" s="10">
        <f t="shared" ref="I65:J65" si="63">SUM(C65, E65, G65)</f>
        <v>16443</v>
      </c>
      <c r="J65" s="10">
        <f t="shared" si="63"/>
        <v>4673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">
      <c r="A66" s="7" t="s">
        <v>30</v>
      </c>
      <c r="B66" s="8">
        <v>2021</v>
      </c>
      <c r="C66" s="9">
        <v>0</v>
      </c>
      <c r="D66" s="12">
        <v>0</v>
      </c>
      <c r="E66" s="12">
        <v>0</v>
      </c>
      <c r="F66" s="9">
        <v>0</v>
      </c>
      <c r="G66" s="10">
        <v>1259</v>
      </c>
      <c r="H66" s="10">
        <v>418</v>
      </c>
      <c r="I66" s="10">
        <f t="shared" ref="I66:J66" si="64">SUM(C66, E66, G66)</f>
        <v>1259</v>
      </c>
      <c r="J66" s="10">
        <f t="shared" si="64"/>
        <v>418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">
      <c r="A67" s="7" t="s">
        <v>31</v>
      </c>
      <c r="B67" s="8">
        <v>2021</v>
      </c>
      <c r="C67" s="9">
        <v>0</v>
      </c>
      <c r="D67" s="9">
        <v>0</v>
      </c>
      <c r="E67" s="9">
        <v>0</v>
      </c>
      <c r="F67" s="9">
        <v>0</v>
      </c>
      <c r="G67" s="10">
        <v>410</v>
      </c>
      <c r="H67" s="10">
        <v>14</v>
      </c>
      <c r="I67" s="10">
        <f t="shared" ref="I67:J67" si="65">SUM(C67, E67, G67)</f>
        <v>410</v>
      </c>
      <c r="J67" s="10">
        <f t="shared" si="65"/>
        <v>14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2">
      <c r="A68" s="7" t="s">
        <v>33</v>
      </c>
      <c r="B68" s="8">
        <v>2021</v>
      </c>
      <c r="C68" s="12">
        <v>0</v>
      </c>
      <c r="D68" s="12">
        <v>0</v>
      </c>
      <c r="E68" s="12">
        <v>0</v>
      </c>
      <c r="F68" s="12">
        <v>0</v>
      </c>
      <c r="G68" s="10">
        <v>215</v>
      </c>
      <c r="H68" s="10">
        <v>70</v>
      </c>
      <c r="I68" s="10">
        <f t="shared" ref="I68:J68" si="66">SUM(C68, E68, G68)</f>
        <v>215</v>
      </c>
      <c r="J68" s="10">
        <f t="shared" si="66"/>
        <v>70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">
      <c r="A69" s="7" t="s">
        <v>32</v>
      </c>
      <c r="B69" s="8">
        <v>2021</v>
      </c>
      <c r="C69" s="12">
        <v>0</v>
      </c>
      <c r="D69" s="12">
        <v>0</v>
      </c>
      <c r="E69" s="12">
        <v>0</v>
      </c>
      <c r="F69" s="12">
        <v>0</v>
      </c>
      <c r="G69" s="10">
        <v>13991</v>
      </c>
      <c r="H69" s="10">
        <v>2799</v>
      </c>
      <c r="I69" s="10">
        <f t="shared" ref="I69:J69" si="67">SUM(C69, E69, G69)</f>
        <v>13991</v>
      </c>
      <c r="J69" s="10">
        <f t="shared" si="67"/>
        <v>2799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2">
      <c r="A70" s="13" t="s">
        <v>2</v>
      </c>
      <c r="B70" s="14">
        <v>2020</v>
      </c>
      <c r="C70" s="15">
        <v>0</v>
      </c>
      <c r="D70" s="15">
        <v>0</v>
      </c>
      <c r="E70" s="15">
        <v>0</v>
      </c>
      <c r="F70" s="15">
        <v>0</v>
      </c>
      <c r="G70" s="16">
        <v>126289</v>
      </c>
      <c r="H70" s="16">
        <v>73419</v>
      </c>
      <c r="I70" s="10">
        <f t="shared" ref="I70:J70" si="68">SUM(C70, E70, G70)</f>
        <v>126289</v>
      </c>
      <c r="J70" s="10">
        <f t="shared" si="68"/>
        <v>73419</v>
      </c>
      <c r="K70" s="17"/>
      <c r="L70" s="18"/>
      <c r="M70" s="16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spans="1:23" x14ac:dyDescent="0.2">
      <c r="A71" s="7" t="s">
        <v>3</v>
      </c>
      <c r="B71" s="8">
        <v>2020</v>
      </c>
      <c r="C71" s="12">
        <v>0</v>
      </c>
      <c r="D71" s="12">
        <v>0</v>
      </c>
      <c r="E71" s="12">
        <v>0</v>
      </c>
      <c r="F71" s="12">
        <v>0</v>
      </c>
      <c r="G71" s="10">
        <v>95477</v>
      </c>
      <c r="H71" s="10">
        <v>76597</v>
      </c>
      <c r="I71" s="10">
        <f t="shared" ref="I71:J71" si="69">SUM(C71, E71, G71)</f>
        <v>95477</v>
      </c>
      <c r="J71" s="10">
        <f t="shared" si="69"/>
        <v>76597</v>
      </c>
      <c r="K71" s="11"/>
      <c r="L71" s="12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2">
      <c r="A72" s="7" t="s">
        <v>4</v>
      </c>
      <c r="B72" s="8">
        <v>2020</v>
      </c>
      <c r="C72" s="12">
        <v>0</v>
      </c>
      <c r="D72" s="12">
        <v>0</v>
      </c>
      <c r="E72" s="12">
        <v>0</v>
      </c>
      <c r="F72" s="12">
        <v>0</v>
      </c>
      <c r="G72" s="10">
        <v>25358</v>
      </c>
      <c r="H72" s="10">
        <v>12528</v>
      </c>
      <c r="I72" s="10">
        <f t="shared" ref="I72:J72" si="70">SUM(C72, E72, G72)</f>
        <v>25358</v>
      </c>
      <c r="J72" s="10">
        <f t="shared" si="70"/>
        <v>12528</v>
      </c>
      <c r="K72" s="11"/>
      <c r="L72" s="12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2">
      <c r="A73" s="7" t="s">
        <v>5</v>
      </c>
      <c r="B73" s="8">
        <v>2020</v>
      </c>
      <c r="C73" s="9">
        <v>0</v>
      </c>
      <c r="D73" s="9">
        <v>0</v>
      </c>
      <c r="E73" s="9">
        <v>0</v>
      </c>
      <c r="F73" s="9">
        <v>0</v>
      </c>
      <c r="G73" s="12">
        <v>4213</v>
      </c>
      <c r="H73" s="12">
        <v>2423</v>
      </c>
      <c r="I73" s="10">
        <f t="shared" ref="I73:J73" si="71">SUM(C73, E73, G73)</f>
        <v>4213</v>
      </c>
      <c r="J73" s="10">
        <f t="shared" si="71"/>
        <v>2423</v>
      </c>
      <c r="K73" s="11"/>
      <c r="L73" s="12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2">
      <c r="A74" s="7" t="s">
        <v>7</v>
      </c>
      <c r="B74" s="8">
        <v>2020</v>
      </c>
      <c r="C74" s="12">
        <v>500</v>
      </c>
      <c r="D74" s="12">
        <v>33</v>
      </c>
      <c r="E74" s="12">
        <v>0</v>
      </c>
      <c r="F74" s="12">
        <v>0</v>
      </c>
      <c r="G74" s="10">
        <v>30103</v>
      </c>
      <c r="H74" s="10">
        <v>18580</v>
      </c>
      <c r="I74" s="10">
        <f t="shared" ref="I74:J74" si="72">SUM(C74, E74, G74)</f>
        <v>30603</v>
      </c>
      <c r="J74" s="10">
        <f t="shared" si="72"/>
        <v>18613</v>
      </c>
      <c r="K74" s="11"/>
      <c r="L74" s="12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2">
      <c r="A75" s="7" t="s">
        <v>8</v>
      </c>
      <c r="B75" s="8">
        <v>2020</v>
      </c>
      <c r="C75" s="9">
        <v>0</v>
      </c>
      <c r="D75" s="9">
        <v>0</v>
      </c>
      <c r="E75" s="9">
        <v>0</v>
      </c>
      <c r="F75" s="9">
        <v>0</v>
      </c>
      <c r="G75" s="10">
        <v>250305</v>
      </c>
      <c r="H75" s="10">
        <v>198945</v>
      </c>
      <c r="I75" s="10">
        <f t="shared" ref="I75:J75" si="73">SUM(C75, E75, G75)</f>
        <v>250305</v>
      </c>
      <c r="J75" s="10">
        <f t="shared" si="73"/>
        <v>198945</v>
      </c>
      <c r="K75" s="11"/>
      <c r="L75" s="12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2">
      <c r="A76" s="7" t="s">
        <v>9</v>
      </c>
      <c r="B76" s="8">
        <v>2020</v>
      </c>
      <c r="C76" s="12">
        <v>0</v>
      </c>
      <c r="D76" s="12">
        <v>0</v>
      </c>
      <c r="E76" s="12">
        <v>462</v>
      </c>
      <c r="F76" s="12">
        <v>214</v>
      </c>
      <c r="G76" s="10">
        <v>85241</v>
      </c>
      <c r="H76" s="10">
        <v>62065</v>
      </c>
      <c r="I76" s="10">
        <f t="shared" ref="I76:J76" si="74">SUM(C76, E76, G76)</f>
        <v>85703</v>
      </c>
      <c r="J76" s="10">
        <f t="shared" si="74"/>
        <v>62279</v>
      </c>
      <c r="K76" s="11"/>
      <c r="L76" s="12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x14ac:dyDescent="0.2">
      <c r="A77" s="7" t="s">
        <v>10</v>
      </c>
      <c r="B77" s="8">
        <v>2020</v>
      </c>
      <c r="C77" s="9">
        <v>0</v>
      </c>
      <c r="D77" s="9">
        <v>0</v>
      </c>
      <c r="E77" s="9">
        <v>0</v>
      </c>
      <c r="F77" s="9">
        <v>0</v>
      </c>
      <c r="G77" s="10">
        <v>156460</v>
      </c>
      <c r="H77" s="10">
        <v>117311</v>
      </c>
      <c r="I77" s="10">
        <f t="shared" ref="I77:J77" si="75">SUM(C77, E77, G77)</f>
        <v>156460</v>
      </c>
      <c r="J77" s="10">
        <f t="shared" si="75"/>
        <v>117311</v>
      </c>
      <c r="K77" s="11"/>
      <c r="L77" s="12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x14ac:dyDescent="0.2">
      <c r="A78" s="7" t="s">
        <v>42</v>
      </c>
      <c r="B78" s="8">
        <v>2020</v>
      </c>
      <c r="C78" s="9">
        <v>0</v>
      </c>
      <c r="D78" s="9">
        <v>0</v>
      </c>
      <c r="E78" s="9">
        <v>0</v>
      </c>
      <c r="F78" s="9">
        <v>0</v>
      </c>
      <c r="G78" s="10">
        <v>111</v>
      </c>
      <c r="H78" s="10">
        <v>21</v>
      </c>
      <c r="I78" s="10">
        <f t="shared" ref="I78:J78" si="76">SUM(C78, E78, G78)</f>
        <v>111</v>
      </c>
      <c r="J78" s="10">
        <f t="shared" si="76"/>
        <v>21</v>
      </c>
      <c r="K78" s="11"/>
      <c r="L78" s="12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x14ac:dyDescent="0.2">
      <c r="A79" s="7" t="s">
        <v>6</v>
      </c>
      <c r="B79" s="8">
        <v>2020</v>
      </c>
      <c r="C79" s="9">
        <v>0</v>
      </c>
      <c r="D79" s="9">
        <v>0</v>
      </c>
      <c r="E79" s="9">
        <v>0</v>
      </c>
      <c r="F79" s="9">
        <v>0</v>
      </c>
      <c r="G79" s="10">
        <v>19</v>
      </c>
      <c r="H79" s="10">
        <v>0</v>
      </c>
      <c r="I79" s="10">
        <f t="shared" ref="I79:J79" si="77">SUM(C79, E79, G79)</f>
        <v>19</v>
      </c>
      <c r="J79" s="10">
        <f t="shared" si="77"/>
        <v>0</v>
      </c>
      <c r="K79" s="11"/>
      <c r="L79" s="12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x14ac:dyDescent="0.2">
      <c r="A80" s="7" t="s">
        <v>11</v>
      </c>
      <c r="B80" s="8">
        <v>2020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f t="shared" ref="I80:J80" si="78">SUM(C80, E80, G80)</f>
        <v>0</v>
      </c>
      <c r="J80" s="10">
        <f t="shared" si="78"/>
        <v>0</v>
      </c>
      <c r="K80" s="11"/>
      <c r="L80" s="9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x14ac:dyDescent="0.2">
      <c r="A81" s="7" t="s">
        <v>12</v>
      </c>
      <c r="B81" s="8">
        <v>2020</v>
      </c>
      <c r="C81" s="12">
        <v>0</v>
      </c>
      <c r="D81" s="12">
        <v>0</v>
      </c>
      <c r="E81" s="12">
        <v>146</v>
      </c>
      <c r="F81" s="12">
        <v>59</v>
      </c>
      <c r="G81" s="10">
        <v>49679</v>
      </c>
      <c r="H81" s="10">
        <v>22921</v>
      </c>
      <c r="I81" s="10">
        <f t="shared" ref="I81:J81" si="79">SUM(C81, E81, G81)</f>
        <v>49825</v>
      </c>
      <c r="J81" s="10">
        <f t="shared" si="79"/>
        <v>22980</v>
      </c>
      <c r="K81" s="11"/>
      <c r="L81" s="12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x14ac:dyDescent="0.2">
      <c r="A82" s="7" t="s">
        <v>14</v>
      </c>
      <c r="B82" s="8">
        <v>2020</v>
      </c>
      <c r="C82" s="10">
        <v>961</v>
      </c>
      <c r="D82" s="10">
        <v>145</v>
      </c>
      <c r="E82" s="10">
        <v>194</v>
      </c>
      <c r="F82" s="10">
        <v>35</v>
      </c>
      <c r="G82" s="10">
        <v>46602</v>
      </c>
      <c r="H82" s="10">
        <v>25999</v>
      </c>
      <c r="I82" s="10">
        <f t="shared" ref="I82:J82" si="80">SUM(C82, E82, G82)</f>
        <v>47757</v>
      </c>
      <c r="J82" s="10">
        <f t="shared" si="80"/>
        <v>26179</v>
      </c>
      <c r="K82" s="11"/>
      <c r="L82" s="12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x14ac:dyDescent="0.2">
      <c r="A83" s="7" t="s">
        <v>43</v>
      </c>
      <c r="B83" s="8">
        <v>2020</v>
      </c>
      <c r="C83" s="9">
        <v>0</v>
      </c>
      <c r="D83" s="9">
        <v>0</v>
      </c>
      <c r="E83" s="9">
        <v>0</v>
      </c>
      <c r="F83" s="9">
        <v>0</v>
      </c>
      <c r="G83" s="10">
        <v>1728</v>
      </c>
      <c r="H83" s="10">
        <v>514</v>
      </c>
      <c r="I83" s="10">
        <f t="shared" ref="I83:J83" si="81">SUM(C83, E83, G83)</f>
        <v>1728</v>
      </c>
      <c r="J83" s="10">
        <f t="shared" si="81"/>
        <v>514</v>
      </c>
      <c r="K83" s="11"/>
      <c r="L83" s="12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x14ac:dyDescent="0.2">
      <c r="A84" s="7" t="s">
        <v>15</v>
      </c>
      <c r="B84" s="8">
        <v>2020</v>
      </c>
      <c r="C84" s="10">
        <v>12036</v>
      </c>
      <c r="D84" s="10">
        <v>3513</v>
      </c>
      <c r="E84" s="10">
        <v>5591</v>
      </c>
      <c r="F84" s="10">
        <v>776</v>
      </c>
      <c r="G84" s="10">
        <v>73108</v>
      </c>
      <c r="H84" s="10">
        <v>40990</v>
      </c>
      <c r="I84" s="10">
        <f t="shared" ref="I84:J84" si="82">SUM(C84, E84, G84)</f>
        <v>90735</v>
      </c>
      <c r="J84" s="10">
        <f t="shared" si="82"/>
        <v>45279</v>
      </c>
      <c r="K84" s="11"/>
      <c r="L84" s="12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x14ac:dyDescent="0.2">
      <c r="A85" s="7" t="s">
        <v>13</v>
      </c>
      <c r="B85" s="8">
        <v>2020</v>
      </c>
      <c r="C85" s="12">
        <v>0</v>
      </c>
      <c r="D85" s="12">
        <v>0</v>
      </c>
      <c r="E85" s="12">
        <v>0</v>
      </c>
      <c r="F85" s="12">
        <v>0</v>
      </c>
      <c r="G85" s="10">
        <v>6233</v>
      </c>
      <c r="H85" s="10">
        <v>1978</v>
      </c>
      <c r="I85" s="10">
        <f t="shared" ref="I85:J85" si="83">SUM(C85, E85, G85)</f>
        <v>6233</v>
      </c>
      <c r="J85" s="10">
        <f t="shared" si="83"/>
        <v>1978</v>
      </c>
      <c r="K85" s="11"/>
      <c r="L85" s="12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x14ac:dyDescent="0.2">
      <c r="A86" s="7" t="s">
        <v>16</v>
      </c>
      <c r="B86" s="8">
        <v>2020</v>
      </c>
      <c r="C86" s="10">
        <v>14</v>
      </c>
      <c r="D86" s="10">
        <v>3</v>
      </c>
      <c r="E86" s="9">
        <v>0</v>
      </c>
      <c r="F86" s="9">
        <v>0</v>
      </c>
      <c r="G86" s="10">
        <v>34732</v>
      </c>
      <c r="H86" s="10">
        <v>15736</v>
      </c>
      <c r="I86" s="10">
        <f t="shared" ref="I86:J86" si="84">SUM(C86, E86, G86)</f>
        <v>34746</v>
      </c>
      <c r="J86" s="10">
        <f t="shared" si="84"/>
        <v>15739</v>
      </c>
      <c r="K86" s="11"/>
      <c r="L86" s="12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x14ac:dyDescent="0.2">
      <c r="A87" s="7" t="s">
        <v>17</v>
      </c>
      <c r="B87" s="8">
        <v>2020</v>
      </c>
      <c r="C87" s="10">
        <v>330</v>
      </c>
      <c r="D87" s="10">
        <v>9</v>
      </c>
      <c r="E87" s="9">
        <v>0</v>
      </c>
      <c r="F87" s="9">
        <v>0</v>
      </c>
      <c r="G87" s="10">
        <v>13035</v>
      </c>
      <c r="H87" s="10">
        <v>5616</v>
      </c>
      <c r="I87" s="10">
        <f t="shared" ref="I87:J87" si="85">SUM(C87, E87, G87)</f>
        <v>13365</v>
      </c>
      <c r="J87" s="10">
        <f t="shared" si="85"/>
        <v>5625</v>
      </c>
      <c r="K87" s="11"/>
      <c r="L87" s="12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x14ac:dyDescent="0.2">
      <c r="A88" s="7" t="s">
        <v>18</v>
      </c>
      <c r="B88" s="8">
        <v>2020</v>
      </c>
      <c r="C88" s="9">
        <v>0</v>
      </c>
      <c r="D88" s="9">
        <v>0</v>
      </c>
      <c r="E88" s="10">
        <v>1663</v>
      </c>
      <c r="F88" s="10">
        <v>5</v>
      </c>
      <c r="G88" s="10">
        <v>71256</v>
      </c>
      <c r="H88" s="10">
        <v>23925</v>
      </c>
      <c r="I88" s="10">
        <f t="shared" ref="I88:J88" si="86">SUM(C88, E88, G88)</f>
        <v>72919</v>
      </c>
      <c r="J88" s="10">
        <f t="shared" si="86"/>
        <v>23930</v>
      </c>
      <c r="K88" s="11"/>
      <c r="L88" s="12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x14ac:dyDescent="0.2">
      <c r="A89" s="7" t="s">
        <v>19</v>
      </c>
      <c r="B89" s="8">
        <v>2020</v>
      </c>
      <c r="C89" s="9">
        <v>0</v>
      </c>
      <c r="D89" s="12">
        <v>0</v>
      </c>
      <c r="E89" s="12">
        <v>0</v>
      </c>
      <c r="F89" s="12">
        <v>0</v>
      </c>
      <c r="G89" s="10">
        <v>11904</v>
      </c>
      <c r="H89" s="10">
        <v>3700</v>
      </c>
      <c r="I89" s="10">
        <f t="shared" ref="I89:J89" si="87">SUM(C89, E89, G89)</f>
        <v>11904</v>
      </c>
      <c r="J89" s="10">
        <f t="shared" si="87"/>
        <v>3700</v>
      </c>
      <c r="K89" s="11"/>
      <c r="L89" s="12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x14ac:dyDescent="0.2">
      <c r="A90" s="7" t="s">
        <v>20</v>
      </c>
      <c r="B90" s="8">
        <v>2020</v>
      </c>
      <c r="C90" s="9">
        <v>0</v>
      </c>
      <c r="D90" s="12">
        <v>0</v>
      </c>
      <c r="E90" s="12">
        <v>0</v>
      </c>
      <c r="F90" s="12">
        <v>0</v>
      </c>
      <c r="G90" s="10">
        <v>2490</v>
      </c>
      <c r="H90" s="10">
        <v>405</v>
      </c>
      <c r="I90" s="10">
        <f t="shared" ref="I90:J90" si="88">SUM(C90, E90, G90)</f>
        <v>2490</v>
      </c>
      <c r="J90" s="10">
        <f t="shared" si="88"/>
        <v>405</v>
      </c>
      <c r="K90" s="11"/>
      <c r="L90" s="12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x14ac:dyDescent="0.2">
      <c r="A91" s="7" t="s">
        <v>21</v>
      </c>
      <c r="B91" s="8">
        <v>2020</v>
      </c>
      <c r="C91" s="9">
        <v>0</v>
      </c>
      <c r="D91" s="12">
        <v>0</v>
      </c>
      <c r="E91" s="12">
        <v>0</v>
      </c>
      <c r="F91" s="9">
        <v>0</v>
      </c>
      <c r="G91" s="10">
        <v>2928</v>
      </c>
      <c r="H91" s="10">
        <v>1204</v>
      </c>
      <c r="I91" s="10">
        <f t="shared" ref="I91:J91" si="89">SUM(C91, E91, G91)</f>
        <v>2928</v>
      </c>
      <c r="J91" s="10">
        <f t="shared" si="89"/>
        <v>1204</v>
      </c>
      <c r="K91" s="11"/>
      <c r="L91" s="12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x14ac:dyDescent="0.2">
      <c r="A92" s="7" t="s">
        <v>22</v>
      </c>
      <c r="B92" s="8">
        <v>2020</v>
      </c>
      <c r="C92" s="9">
        <v>0</v>
      </c>
      <c r="D92" s="9">
        <v>0</v>
      </c>
      <c r="E92" s="9">
        <v>0</v>
      </c>
      <c r="F92" s="9">
        <v>0</v>
      </c>
      <c r="G92" s="10">
        <v>2088</v>
      </c>
      <c r="H92" s="10">
        <v>210</v>
      </c>
      <c r="I92" s="10">
        <f t="shared" ref="I92:J92" si="90">SUM(C92, E92, G92)</f>
        <v>2088</v>
      </c>
      <c r="J92" s="10">
        <f t="shared" si="90"/>
        <v>210</v>
      </c>
      <c r="K92" s="11"/>
      <c r="L92" s="12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x14ac:dyDescent="0.2">
      <c r="A93" s="7" t="s">
        <v>23</v>
      </c>
      <c r="B93" s="8">
        <v>2020</v>
      </c>
      <c r="C93" s="9">
        <v>0</v>
      </c>
      <c r="D93" s="9">
        <v>0</v>
      </c>
      <c r="E93" s="9">
        <v>0</v>
      </c>
      <c r="F93" s="9">
        <v>0</v>
      </c>
      <c r="G93" s="10">
        <v>1293</v>
      </c>
      <c r="H93" s="10">
        <v>64</v>
      </c>
      <c r="I93" s="10">
        <f t="shared" ref="I93:J93" si="91">SUM(C93, E93, G93)</f>
        <v>1293</v>
      </c>
      <c r="J93" s="10">
        <f t="shared" si="91"/>
        <v>64</v>
      </c>
      <c r="K93" s="11"/>
      <c r="L93" s="12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x14ac:dyDescent="0.2">
      <c r="A94" s="7" t="s">
        <v>24</v>
      </c>
      <c r="B94" s="8">
        <v>2020</v>
      </c>
      <c r="C94" s="9">
        <v>0</v>
      </c>
      <c r="D94" s="9">
        <v>0</v>
      </c>
      <c r="E94" s="9">
        <v>0</v>
      </c>
      <c r="F94" s="9">
        <v>0</v>
      </c>
      <c r="G94" s="10">
        <v>7834</v>
      </c>
      <c r="H94" s="10">
        <v>3705</v>
      </c>
      <c r="I94" s="10">
        <f t="shared" ref="I94:J94" si="92">SUM(C94, E94, G94)</f>
        <v>7834</v>
      </c>
      <c r="J94" s="10">
        <f t="shared" si="92"/>
        <v>3705</v>
      </c>
      <c r="K94" s="11"/>
      <c r="L94" s="12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x14ac:dyDescent="0.2">
      <c r="A95" s="7" t="s">
        <v>26</v>
      </c>
      <c r="B95" s="8">
        <v>2020</v>
      </c>
      <c r="C95" s="9">
        <v>0</v>
      </c>
      <c r="D95" s="9">
        <v>0</v>
      </c>
      <c r="E95" s="9">
        <v>0</v>
      </c>
      <c r="F95" s="9">
        <v>0</v>
      </c>
      <c r="G95" s="10">
        <v>10191</v>
      </c>
      <c r="H95" s="10">
        <v>2741</v>
      </c>
      <c r="I95" s="10">
        <f t="shared" ref="I95:J95" si="93">SUM(C95, E95, G95)</f>
        <v>10191</v>
      </c>
      <c r="J95" s="10">
        <f t="shared" si="93"/>
        <v>2741</v>
      </c>
      <c r="K95" s="11"/>
      <c r="L95" s="12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x14ac:dyDescent="0.2">
      <c r="A96" s="7" t="s">
        <v>27</v>
      </c>
      <c r="B96" s="8">
        <v>2020</v>
      </c>
      <c r="C96" s="12">
        <v>0</v>
      </c>
      <c r="D96" s="12">
        <v>0</v>
      </c>
      <c r="E96" s="12">
        <v>1365</v>
      </c>
      <c r="F96" s="12">
        <v>298</v>
      </c>
      <c r="G96" s="10">
        <v>78028</v>
      </c>
      <c r="H96" s="10">
        <v>35275</v>
      </c>
      <c r="I96" s="10">
        <f t="shared" ref="I96:J96" si="94">SUM(C96, E96, G96)</f>
        <v>79393</v>
      </c>
      <c r="J96" s="10">
        <f t="shared" si="94"/>
        <v>35573</v>
      </c>
      <c r="K96" s="11"/>
      <c r="L96" s="12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x14ac:dyDescent="0.2">
      <c r="A97" s="7" t="s">
        <v>29</v>
      </c>
      <c r="B97" s="8">
        <v>2020</v>
      </c>
      <c r="C97" s="12">
        <v>0</v>
      </c>
      <c r="D97" s="12">
        <v>0</v>
      </c>
      <c r="E97" s="12">
        <v>0</v>
      </c>
      <c r="F97" s="12">
        <v>0</v>
      </c>
      <c r="G97" s="10">
        <v>8521</v>
      </c>
      <c r="H97" s="10">
        <v>2676</v>
      </c>
      <c r="I97" s="10">
        <f t="shared" ref="I97:J97" si="95">SUM(C97, E97, G97)</f>
        <v>8521</v>
      </c>
      <c r="J97" s="10">
        <f t="shared" si="95"/>
        <v>2676</v>
      </c>
      <c r="K97" s="11"/>
      <c r="L97" s="12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x14ac:dyDescent="0.2">
      <c r="A98" s="7" t="s">
        <v>25</v>
      </c>
      <c r="B98" s="8">
        <v>2020</v>
      </c>
      <c r="C98" s="9">
        <v>0</v>
      </c>
      <c r="D98" s="12">
        <v>0</v>
      </c>
      <c r="E98" s="12">
        <v>0</v>
      </c>
      <c r="F98" s="12">
        <v>0</v>
      </c>
      <c r="G98" s="10">
        <v>1437</v>
      </c>
      <c r="H98" s="10">
        <v>144</v>
      </c>
      <c r="I98" s="10">
        <f t="shared" ref="I98:J98" si="96">SUM(C98, E98, G98)</f>
        <v>1437</v>
      </c>
      <c r="J98" s="10">
        <f t="shared" si="96"/>
        <v>144</v>
      </c>
      <c r="K98" s="11"/>
      <c r="L98" s="12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x14ac:dyDescent="0.2">
      <c r="A99" s="7" t="s">
        <v>28</v>
      </c>
      <c r="B99" s="8">
        <v>2020</v>
      </c>
      <c r="C99" s="9">
        <v>0</v>
      </c>
      <c r="D99" s="12">
        <v>0</v>
      </c>
      <c r="E99" s="12">
        <v>0</v>
      </c>
      <c r="F99" s="12">
        <v>0</v>
      </c>
      <c r="G99" s="10">
        <v>16272</v>
      </c>
      <c r="H99" s="10">
        <v>4396</v>
      </c>
      <c r="I99" s="10">
        <f t="shared" ref="I99:J99" si="97">SUM(C99, E99, G99)</f>
        <v>16272</v>
      </c>
      <c r="J99" s="10">
        <f t="shared" si="97"/>
        <v>4396</v>
      </c>
      <c r="K99" s="11"/>
      <c r="L99" s="12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x14ac:dyDescent="0.2">
      <c r="A100" s="7" t="s">
        <v>30</v>
      </c>
      <c r="B100" s="8">
        <v>2020</v>
      </c>
      <c r="C100" s="9">
        <v>0</v>
      </c>
      <c r="D100" s="12">
        <v>0</v>
      </c>
      <c r="E100" s="12">
        <v>0</v>
      </c>
      <c r="F100" s="9">
        <v>0</v>
      </c>
      <c r="G100" s="10">
        <v>1262</v>
      </c>
      <c r="H100" s="10">
        <v>441</v>
      </c>
      <c r="I100" s="10">
        <f t="shared" ref="I100:J100" si="98">SUM(C100, E100, G100)</f>
        <v>1262</v>
      </c>
      <c r="J100" s="10">
        <f t="shared" si="98"/>
        <v>441</v>
      </c>
      <c r="K100" s="11"/>
      <c r="L100" s="12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x14ac:dyDescent="0.2">
      <c r="A101" s="7" t="s">
        <v>31</v>
      </c>
      <c r="B101" s="8">
        <v>2020</v>
      </c>
      <c r="C101" s="9">
        <v>0</v>
      </c>
      <c r="D101" s="9">
        <v>0</v>
      </c>
      <c r="E101" s="9">
        <v>0</v>
      </c>
      <c r="F101" s="9">
        <v>0</v>
      </c>
      <c r="G101" s="10">
        <v>414</v>
      </c>
      <c r="H101" s="10">
        <v>14</v>
      </c>
      <c r="I101" s="10">
        <f t="shared" ref="I101:J101" si="99">SUM(C101, E101, G101)</f>
        <v>414</v>
      </c>
      <c r="J101" s="10">
        <f t="shared" si="99"/>
        <v>14</v>
      </c>
      <c r="K101" s="11"/>
      <c r="L101" s="12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x14ac:dyDescent="0.2">
      <c r="A102" s="7" t="s">
        <v>33</v>
      </c>
      <c r="B102" s="8">
        <v>2020</v>
      </c>
      <c r="C102" s="12">
        <v>0</v>
      </c>
      <c r="D102" s="12">
        <v>0</v>
      </c>
      <c r="E102" s="12">
        <v>0</v>
      </c>
      <c r="F102" s="12">
        <v>0</v>
      </c>
      <c r="G102" s="10">
        <v>206</v>
      </c>
      <c r="H102" s="10">
        <v>73</v>
      </c>
      <c r="I102" s="10">
        <f t="shared" ref="I102:J102" si="100">SUM(C102, E102, G102)</f>
        <v>206</v>
      </c>
      <c r="J102" s="10">
        <f t="shared" si="100"/>
        <v>73</v>
      </c>
      <c r="K102" s="11"/>
      <c r="L102" s="12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x14ac:dyDescent="0.2">
      <c r="A103" s="7" t="s">
        <v>32</v>
      </c>
      <c r="B103" s="8">
        <v>2020</v>
      </c>
      <c r="C103" s="12">
        <v>0</v>
      </c>
      <c r="D103" s="12">
        <v>0</v>
      </c>
      <c r="E103" s="12">
        <v>0</v>
      </c>
      <c r="F103" s="12">
        <v>0</v>
      </c>
      <c r="G103" s="10">
        <v>12375</v>
      </c>
      <c r="H103" s="10">
        <v>2673</v>
      </c>
      <c r="I103" s="10">
        <f t="shared" ref="I103:J103" si="101">SUM(C103, E103, G103)</f>
        <v>12375</v>
      </c>
      <c r="J103" s="10">
        <f t="shared" si="101"/>
        <v>2673</v>
      </c>
      <c r="K103" s="11"/>
      <c r="L103" s="12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x14ac:dyDescent="0.2">
      <c r="A104" s="19" t="s">
        <v>2</v>
      </c>
      <c r="B104" s="14">
        <v>2019</v>
      </c>
      <c r="C104" s="15">
        <v>0</v>
      </c>
      <c r="D104" s="15">
        <v>0</v>
      </c>
      <c r="E104" s="15">
        <v>0</v>
      </c>
      <c r="F104" s="15">
        <v>0</v>
      </c>
      <c r="G104" s="16">
        <v>125259</v>
      </c>
      <c r="H104" s="16">
        <v>71182</v>
      </c>
      <c r="I104" s="10">
        <f t="shared" ref="I104:J104" si="102">SUM(C104, E104, G104)</f>
        <v>125259</v>
      </c>
      <c r="J104" s="10">
        <f t="shared" si="102"/>
        <v>71182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spans="1:23" x14ac:dyDescent="0.2">
      <c r="A105" s="20" t="s">
        <v>3</v>
      </c>
      <c r="B105" s="8">
        <v>2019</v>
      </c>
      <c r="C105" s="9">
        <v>0</v>
      </c>
      <c r="D105" s="9">
        <v>0</v>
      </c>
      <c r="E105" s="9">
        <v>0</v>
      </c>
      <c r="F105" s="9">
        <v>0</v>
      </c>
      <c r="G105" s="10">
        <v>97546</v>
      </c>
      <c r="H105" s="10">
        <v>72343</v>
      </c>
      <c r="I105" s="10">
        <f t="shared" ref="I105:J105" si="103">SUM(C105, E105, G105)</f>
        <v>97546</v>
      </c>
      <c r="J105" s="10">
        <f t="shared" si="103"/>
        <v>72343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x14ac:dyDescent="0.2">
      <c r="A106" s="20" t="s">
        <v>4</v>
      </c>
      <c r="B106" s="8">
        <v>2019</v>
      </c>
      <c r="C106" s="9">
        <v>0</v>
      </c>
      <c r="D106" s="9">
        <v>0</v>
      </c>
      <c r="E106" s="9">
        <v>0</v>
      </c>
      <c r="F106" s="9">
        <v>0</v>
      </c>
      <c r="G106" s="10">
        <v>29631</v>
      </c>
      <c r="H106" s="10">
        <v>17823</v>
      </c>
      <c r="I106" s="10">
        <f t="shared" ref="I106:J106" si="104">SUM(C106, E106, G106)</f>
        <v>29631</v>
      </c>
      <c r="J106" s="10">
        <f t="shared" si="104"/>
        <v>17823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x14ac:dyDescent="0.2">
      <c r="A107" s="20" t="s">
        <v>5</v>
      </c>
      <c r="B107" s="8">
        <v>2019</v>
      </c>
      <c r="C107" s="9">
        <v>0</v>
      </c>
      <c r="D107" s="9">
        <v>0</v>
      </c>
      <c r="E107" s="9">
        <v>0</v>
      </c>
      <c r="F107" s="9">
        <v>0</v>
      </c>
      <c r="G107" s="10">
        <v>5068</v>
      </c>
      <c r="H107" s="10">
        <v>3032</v>
      </c>
      <c r="I107" s="10">
        <f t="shared" ref="I107:J107" si="105">SUM(C107, E107, G107)</f>
        <v>5068</v>
      </c>
      <c r="J107" s="10">
        <f t="shared" si="105"/>
        <v>3032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x14ac:dyDescent="0.2">
      <c r="A108" s="20" t="s">
        <v>7</v>
      </c>
      <c r="B108" s="8">
        <v>2019</v>
      </c>
      <c r="C108" s="10">
        <v>500</v>
      </c>
      <c r="D108" s="10">
        <v>14</v>
      </c>
      <c r="E108" s="9">
        <v>0</v>
      </c>
      <c r="F108" s="9">
        <v>0</v>
      </c>
      <c r="G108" s="10">
        <v>28096</v>
      </c>
      <c r="H108" s="10">
        <v>16588</v>
      </c>
      <c r="I108" s="10">
        <f t="shared" ref="I108:J108" si="106">SUM(C108, E108, G108)</f>
        <v>28596</v>
      </c>
      <c r="J108" s="10">
        <f t="shared" si="106"/>
        <v>16602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 x14ac:dyDescent="0.2">
      <c r="A109" s="20" t="s">
        <v>8</v>
      </c>
      <c r="B109" s="8">
        <v>2019</v>
      </c>
      <c r="C109" s="9">
        <v>0</v>
      </c>
      <c r="D109" s="9">
        <v>0</v>
      </c>
      <c r="E109" s="9">
        <v>0</v>
      </c>
      <c r="F109" s="9">
        <v>0</v>
      </c>
      <c r="G109" s="10">
        <v>251027</v>
      </c>
      <c r="H109" s="10">
        <v>196016</v>
      </c>
      <c r="I109" s="10">
        <f t="shared" ref="I109:J109" si="107">SUM(C109, E109, G109)</f>
        <v>251027</v>
      </c>
      <c r="J109" s="10">
        <f t="shared" si="107"/>
        <v>196016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x14ac:dyDescent="0.2">
      <c r="A110" s="20" t="s">
        <v>9</v>
      </c>
      <c r="B110" s="8">
        <v>2019</v>
      </c>
      <c r="C110" s="9">
        <v>0</v>
      </c>
      <c r="D110" s="9">
        <v>0</v>
      </c>
      <c r="E110" s="10">
        <v>462</v>
      </c>
      <c r="F110" s="10">
        <v>73</v>
      </c>
      <c r="G110" s="10">
        <v>86475</v>
      </c>
      <c r="H110" s="10">
        <v>58391</v>
      </c>
      <c r="I110" s="10">
        <f t="shared" ref="I110:J110" si="108">SUM(C110, E110, G110)</f>
        <v>86937</v>
      </c>
      <c r="J110" s="10">
        <f t="shared" si="108"/>
        <v>58464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x14ac:dyDescent="0.2">
      <c r="A111" s="20" t="s">
        <v>10</v>
      </c>
      <c r="B111" s="8">
        <v>2019</v>
      </c>
      <c r="C111" s="9">
        <v>0</v>
      </c>
      <c r="D111" s="9">
        <v>0</v>
      </c>
      <c r="E111" s="9">
        <v>0</v>
      </c>
      <c r="F111" s="9">
        <v>0</v>
      </c>
      <c r="G111" s="10">
        <v>156862</v>
      </c>
      <c r="H111" s="10">
        <v>110291</v>
      </c>
      <c r="I111" s="10">
        <f t="shared" ref="I111:J111" si="109">SUM(C111, E111, G111)</f>
        <v>156862</v>
      </c>
      <c r="J111" s="10">
        <f t="shared" si="109"/>
        <v>110291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x14ac:dyDescent="0.2">
      <c r="A112" s="20" t="s">
        <v>42</v>
      </c>
      <c r="B112" s="8">
        <v>2019</v>
      </c>
      <c r="C112" s="9">
        <v>0</v>
      </c>
      <c r="D112" s="9">
        <v>0</v>
      </c>
      <c r="E112" s="9">
        <v>0</v>
      </c>
      <c r="F112" s="9">
        <v>0</v>
      </c>
      <c r="G112" s="10">
        <v>68</v>
      </c>
      <c r="H112" s="10">
        <v>12</v>
      </c>
      <c r="I112" s="10">
        <f t="shared" ref="I112:J112" si="110">SUM(C112, E112, G112)</f>
        <v>68</v>
      </c>
      <c r="J112" s="10">
        <f t="shared" si="110"/>
        <v>12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x14ac:dyDescent="0.2">
      <c r="A113" s="20" t="s">
        <v>6</v>
      </c>
      <c r="B113" s="8">
        <v>2019</v>
      </c>
      <c r="C113" s="9">
        <v>0</v>
      </c>
      <c r="D113" s="9">
        <v>0</v>
      </c>
      <c r="E113" s="9">
        <v>0</v>
      </c>
      <c r="F113" s="9">
        <v>0</v>
      </c>
      <c r="G113" s="10">
        <v>4</v>
      </c>
      <c r="H113" s="10">
        <v>0</v>
      </c>
      <c r="I113" s="10">
        <f t="shared" ref="I113:J113" si="111">SUM(C113, E113, G113)</f>
        <v>4</v>
      </c>
      <c r="J113" s="10">
        <f t="shared" si="111"/>
        <v>0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x14ac:dyDescent="0.2">
      <c r="A114" s="20" t="s">
        <v>11</v>
      </c>
      <c r="B114" s="8">
        <v>2019</v>
      </c>
      <c r="C114" s="9">
        <v>0</v>
      </c>
      <c r="D114" s="9">
        <v>0</v>
      </c>
      <c r="E114" s="9">
        <v>0</v>
      </c>
      <c r="F114" s="9">
        <v>0</v>
      </c>
      <c r="G114" s="10">
        <v>0</v>
      </c>
      <c r="H114" s="10">
        <v>0</v>
      </c>
      <c r="I114" s="10">
        <f t="shared" ref="I114:J114" si="112">SUM(C114, E114, G114)</f>
        <v>0</v>
      </c>
      <c r="J114" s="10">
        <f t="shared" si="112"/>
        <v>0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x14ac:dyDescent="0.2">
      <c r="A115" s="20" t="s">
        <v>12</v>
      </c>
      <c r="B115" s="8">
        <v>2019</v>
      </c>
      <c r="C115" s="10">
        <v>95</v>
      </c>
      <c r="D115" s="10">
        <v>62</v>
      </c>
      <c r="E115" s="10">
        <v>178</v>
      </c>
      <c r="F115" s="10">
        <v>118</v>
      </c>
      <c r="G115" s="10">
        <v>43384</v>
      </c>
      <c r="H115" s="10">
        <v>19713</v>
      </c>
      <c r="I115" s="10">
        <f t="shared" ref="I115:J115" si="113">SUM(C115, E115, G115)</f>
        <v>43657</v>
      </c>
      <c r="J115" s="10">
        <f t="shared" si="113"/>
        <v>19893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x14ac:dyDescent="0.2">
      <c r="A116" s="20" t="s">
        <v>14</v>
      </c>
      <c r="B116" s="8">
        <v>2019</v>
      </c>
      <c r="C116" s="10">
        <v>1012</v>
      </c>
      <c r="D116" s="10">
        <v>375</v>
      </c>
      <c r="E116" s="10">
        <v>522</v>
      </c>
      <c r="F116" s="10">
        <v>429</v>
      </c>
      <c r="G116" s="10">
        <v>43777</v>
      </c>
      <c r="H116" s="10">
        <v>22709</v>
      </c>
      <c r="I116" s="10">
        <f t="shared" ref="I116:J116" si="114">SUM(C116, E116, G116)</f>
        <v>45311</v>
      </c>
      <c r="J116" s="10">
        <f t="shared" si="114"/>
        <v>23513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x14ac:dyDescent="0.2">
      <c r="A117" s="20" t="s">
        <v>43</v>
      </c>
      <c r="B117" s="8">
        <v>2019</v>
      </c>
      <c r="C117" s="9">
        <v>0</v>
      </c>
      <c r="D117" s="9">
        <v>0</v>
      </c>
      <c r="E117" s="9">
        <v>0</v>
      </c>
      <c r="F117" s="9">
        <v>0</v>
      </c>
      <c r="G117" s="10">
        <v>1580</v>
      </c>
      <c r="H117" s="10">
        <v>479</v>
      </c>
      <c r="I117" s="10">
        <f t="shared" ref="I117:J117" si="115">SUM(C117, E117, G117)</f>
        <v>1580</v>
      </c>
      <c r="J117" s="10">
        <f t="shared" si="115"/>
        <v>479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x14ac:dyDescent="0.2">
      <c r="A118" s="20" t="s">
        <v>15</v>
      </c>
      <c r="B118" s="8">
        <v>2019</v>
      </c>
      <c r="C118" s="10">
        <v>12553</v>
      </c>
      <c r="D118" s="10">
        <v>5168</v>
      </c>
      <c r="E118" s="10">
        <v>6777</v>
      </c>
      <c r="F118" s="10">
        <v>3478</v>
      </c>
      <c r="G118" s="10">
        <v>72736</v>
      </c>
      <c r="H118" s="10">
        <v>40400</v>
      </c>
      <c r="I118" s="10">
        <f t="shared" ref="I118:J118" si="116">SUM(C118, E118, G118)</f>
        <v>92066</v>
      </c>
      <c r="J118" s="10">
        <f t="shared" si="116"/>
        <v>49046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x14ac:dyDescent="0.2">
      <c r="A119" s="20" t="s">
        <v>13</v>
      </c>
      <c r="B119" s="8">
        <v>2019</v>
      </c>
      <c r="C119" s="9">
        <v>0</v>
      </c>
      <c r="D119" s="9">
        <v>0</v>
      </c>
      <c r="E119" s="9">
        <v>0</v>
      </c>
      <c r="F119" s="9">
        <v>0</v>
      </c>
      <c r="G119" s="10">
        <v>6132</v>
      </c>
      <c r="H119" s="10">
        <v>2567</v>
      </c>
      <c r="I119" s="10">
        <f t="shared" ref="I119:J119" si="117">SUM(C119, E119, G119)</f>
        <v>6132</v>
      </c>
      <c r="J119" s="10">
        <f t="shared" si="117"/>
        <v>2567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x14ac:dyDescent="0.2">
      <c r="A120" s="20" t="s">
        <v>16</v>
      </c>
      <c r="B120" s="8">
        <v>2019</v>
      </c>
      <c r="C120" s="10">
        <v>13</v>
      </c>
      <c r="D120" s="10">
        <v>5</v>
      </c>
      <c r="E120" s="9">
        <v>0</v>
      </c>
      <c r="F120" s="9">
        <v>0</v>
      </c>
      <c r="G120" s="10">
        <v>35011</v>
      </c>
      <c r="H120" s="10">
        <v>15303</v>
      </c>
      <c r="I120" s="10">
        <f t="shared" ref="I120:J120" si="118">SUM(C120, E120, G120)</f>
        <v>35024</v>
      </c>
      <c r="J120" s="10">
        <f t="shared" si="118"/>
        <v>15308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x14ac:dyDescent="0.2">
      <c r="A121" s="20" t="s">
        <v>17</v>
      </c>
      <c r="B121" s="8">
        <v>2019</v>
      </c>
      <c r="C121" s="10">
        <v>330</v>
      </c>
      <c r="D121" s="10">
        <v>10</v>
      </c>
      <c r="E121" s="9">
        <v>0</v>
      </c>
      <c r="F121" s="9">
        <v>0</v>
      </c>
      <c r="G121" s="10">
        <v>13770</v>
      </c>
      <c r="H121" s="10">
        <v>6565</v>
      </c>
      <c r="I121" s="10">
        <f t="shared" ref="I121:J121" si="119">SUM(C121, E121, G121)</f>
        <v>14100</v>
      </c>
      <c r="J121" s="10">
        <f t="shared" si="119"/>
        <v>6575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x14ac:dyDescent="0.2">
      <c r="A122" s="20" t="s">
        <v>18</v>
      </c>
      <c r="B122" s="8">
        <v>2019</v>
      </c>
      <c r="C122" s="9">
        <v>0</v>
      </c>
      <c r="D122" s="9">
        <v>0</v>
      </c>
      <c r="E122" s="10">
        <v>14</v>
      </c>
      <c r="F122" s="10">
        <v>4</v>
      </c>
      <c r="G122" s="10">
        <v>73250</v>
      </c>
      <c r="H122" s="10">
        <v>23783</v>
      </c>
      <c r="I122" s="10">
        <f t="shared" ref="I122:J122" si="120">SUM(C122, E122, G122)</f>
        <v>73264</v>
      </c>
      <c r="J122" s="10">
        <f t="shared" si="120"/>
        <v>23787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x14ac:dyDescent="0.2">
      <c r="A123" s="20" t="s">
        <v>19</v>
      </c>
      <c r="B123" s="8">
        <v>2019</v>
      </c>
      <c r="C123" s="9">
        <v>0</v>
      </c>
      <c r="D123" s="9">
        <v>0</v>
      </c>
      <c r="E123" s="9">
        <v>0</v>
      </c>
      <c r="F123" s="9">
        <v>0</v>
      </c>
      <c r="G123" s="10">
        <v>11855</v>
      </c>
      <c r="H123" s="10">
        <v>3614</v>
      </c>
      <c r="I123" s="10">
        <f t="shared" ref="I123:J123" si="121">SUM(C123, E123, G123)</f>
        <v>11855</v>
      </c>
      <c r="J123" s="10">
        <f t="shared" si="121"/>
        <v>3614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x14ac:dyDescent="0.2">
      <c r="A124" s="20" t="s">
        <v>20</v>
      </c>
      <c r="B124" s="8">
        <v>2019</v>
      </c>
      <c r="C124" s="9">
        <v>0</v>
      </c>
      <c r="D124" s="9">
        <v>0</v>
      </c>
      <c r="E124" s="9">
        <v>0</v>
      </c>
      <c r="F124" s="9">
        <v>0</v>
      </c>
      <c r="G124" s="10">
        <v>2325</v>
      </c>
      <c r="H124" s="10">
        <v>382</v>
      </c>
      <c r="I124" s="10">
        <f t="shared" ref="I124:J124" si="122">SUM(C124, E124, G124)</f>
        <v>2325</v>
      </c>
      <c r="J124" s="10">
        <f t="shared" si="122"/>
        <v>382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x14ac:dyDescent="0.2">
      <c r="A125" s="20" t="s">
        <v>21</v>
      </c>
      <c r="B125" s="8">
        <v>2019</v>
      </c>
      <c r="C125" s="9">
        <v>0</v>
      </c>
      <c r="D125" s="9">
        <v>0</v>
      </c>
      <c r="E125" s="9">
        <v>0</v>
      </c>
      <c r="F125" s="9">
        <v>0</v>
      </c>
      <c r="G125" s="10">
        <v>2567</v>
      </c>
      <c r="H125" s="10">
        <v>1353</v>
      </c>
      <c r="I125" s="10">
        <f t="shared" ref="I125:J125" si="123">SUM(C125, E125, G125)</f>
        <v>2567</v>
      </c>
      <c r="J125" s="10">
        <f t="shared" si="123"/>
        <v>1353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x14ac:dyDescent="0.2">
      <c r="A126" s="20" t="s">
        <v>22</v>
      </c>
      <c r="B126" s="8">
        <v>2019</v>
      </c>
      <c r="C126" s="9">
        <v>0</v>
      </c>
      <c r="D126" s="9">
        <v>0</v>
      </c>
      <c r="E126" s="9">
        <v>0</v>
      </c>
      <c r="F126" s="9">
        <v>0</v>
      </c>
      <c r="G126" s="10">
        <v>2518</v>
      </c>
      <c r="H126" s="10">
        <v>267</v>
      </c>
      <c r="I126" s="10">
        <f t="shared" ref="I126:J126" si="124">SUM(C126, E126, G126)</f>
        <v>2518</v>
      </c>
      <c r="J126" s="10">
        <f t="shared" si="124"/>
        <v>267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x14ac:dyDescent="0.2">
      <c r="A127" s="20" t="s">
        <v>23</v>
      </c>
      <c r="B127" s="8">
        <v>2019</v>
      </c>
      <c r="C127" s="9">
        <v>0</v>
      </c>
      <c r="D127" s="9">
        <v>0</v>
      </c>
      <c r="E127" s="9">
        <v>0</v>
      </c>
      <c r="F127" s="9">
        <v>0</v>
      </c>
      <c r="G127" s="10">
        <v>1367</v>
      </c>
      <c r="H127" s="10">
        <v>238</v>
      </c>
      <c r="I127" s="10">
        <f t="shared" ref="I127:J127" si="125">SUM(C127, E127, G127)</f>
        <v>1367</v>
      </c>
      <c r="J127" s="10">
        <f t="shared" si="125"/>
        <v>238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x14ac:dyDescent="0.2">
      <c r="A128" s="20" t="s">
        <v>24</v>
      </c>
      <c r="B128" s="8">
        <v>2019</v>
      </c>
      <c r="C128" s="9">
        <v>0</v>
      </c>
      <c r="D128" s="9">
        <v>0</v>
      </c>
      <c r="E128" s="9">
        <v>0</v>
      </c>
      <c r="F128" s="9">
        <v>0</v>
      </c>
      <c r="G128" s="10">
        <v>7634</v>
      </c>
      <c r="H128" s="10">
        <v>3681</v>
      </c>
      <c r="I128" s="10">
        <f t="shared" ref="I128:J128" si="126">SUM(C128, E128, G128)</f>
        <v>7634</v>
      </c>
      <c r="J128" s="10">
        <f t="shared" si="126"/>
        <v>3681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x14ac:dyDescent="0.2">
      <c r="A129" s="20" t="s">
        <v>26</v>
      </c>
      <c r="B129" s="8">
        <v>2019</v>
      </c>
      <c r="C129" s="9">
        <v>0</v>
      </c>
      <c r="D129" s="9">
        <v>0</v>
      </c>
      <c r="E129" s="9">
        <v>0</v>
      </c>
      <c r="F129" s="9">
        <v>0</v>
      </c>
      <c r="G129" s="10">
        <v>8888</v>
      </c>
      <c r="H129" s="10">
        <v>2888</v>
      </c>
      <c r="I129" s="10">
        <f t="shared" ref="I129:J129" si="127">SUM(C129, E129, G129)</f>
        <v>8888</v>
      </c>
      <c r="J129" s="10">
        <f t="shared" si="127"/>
        <v>2888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x14ac:dyDescent="0.2">
      <c r="A130" s="20" t="s">
        <v>27</v>
      </c>
      <c r="B130" s="8">
        <v>2019</v>
      </c>
      <c r="C130" s="9">
        <v>0</v>
      </c>
      <c r="D130" s="9">
        <v>0</v>
      </c>
      <c r="E130" s="10">
        <v>1761</v>
      </c>
      <c r="F130" s="10">
        <v>307</v>
      </c>
      <c r="G130" s="10">
        <v>69657</v>
      </c>
      <c r="H130" s="10">
        <v>32196</v>
      </c>
      <c r="I130" s="10">
        <f t="shared" ref="I130:J130" si="128">SUM(C130, E130, G130)</f>
        <v>71418</v>
      </c>
      <c r="J130" s="10">
        <f t="shared" si="128"/>
        <v>32503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x14ac:dyDescent="0.2">
      <c r="A131" s="20" t="s">
        <v>29</v>
      </c>
      <c r="B131" s="8">
        <v>2019</v>
      </c>
      <c r="C131" s="9">
        <v>0</v>
      </c>
      <c r="D131" s="9">
        <v>0</v>
      </c>
      <c r="E131" s="9">
        <v>0</v>
      </c>
      <c r="F131" s="9">
        <v>0</v>
      </c>
      <c r="G131" s="10">
        <v>8910</v>
      </c>
      <c r="H131" s="10">
        <v>2702</v>
      </c>
      <c r="I131" s="10">
        <f t="shared" ref="I131:J131" si="129">SUM(C131, E131, G131)</f>
        <v>8910</v>
      </c>
      <c r="J131" s="10">
        <f t="shared" si="129"/>
        <v>2702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x14ac:dyDescent="0.2">
      <c r="A132" s="20" t="s">
        <v>25</v>
      </c>
      <c r="B132" s="8">
        <v>2019</v>
      </c>
      <c r="C132" s="9">
        <v>0</v>
      </c>
      <c r="D132" s="9">
        <v>0</v>
      </c>
      <c r="E132" s="9">
        <v>0</v>
      </c>
      <c r="F132" s="9">
        <v>0</v>
      </c>
      <c r="G132" s="10">
        <v>1515</v>
      </c>
      <c r="H132" s="10">
        <v>159</v>
      </c>
      <c r="I132" s="10">
        <f t="shared" ref="I132:J132" si="130">SUM(C132, E132, G132)</f>
        <v>1515</v>
      </c>
      <c r="J132" s="10">
        <f t="shared" si="130"/>
        <v>159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x14ac:dyDescent="0.2">
      <c r="A133" s="20" t="s">
        <v>28</v>
      </c>
      <c r="B133" s="8">
        <v>2019</v>
      </c>
      <c r="C133" s="9">
        <v>0</v>
      </c>
      <c r="D133" s="9">
        <v>0</v>
      </c>
      <c r="E133" s="9">
        <v>0</v>
      </c>
      <c r="F133" s="9">
        <v>0</v>
      </c>
      <c r="G133" s="10">
        <v>15438</v>
      </c>
      <c r="H133" s="10">
        <v>3744</v>
      </c>
      <c r="I133" s="10">
        <f t="shared" ref="I133:J133" si="131">SUM(C133, E133, G133)</f>
        <v>15438</v>
      </c>
      <c r="J133" s="10">
        <f t="shared" si="131"/>
        <v>3744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x14ac:dyDescent="0.2">
      <c r="A134" s="20" t="s">
        <v>30</v>
      </c>
      <c r="B134" s="8">
        <v>2019</v>
      </c>
      <c r="C134" s="9">
        <v>0</v>
      </c>
      <c r="D134" s="9">
        <v>0</v>
      </c>
      <c r="E134" s="9">
        <v>0</v>
      </c>
      <c r="F134" s="9">
        <v>0</v>
      </c>
      <c r="G134" s="10">
        <v>1354</v>
      </c>
      <c r="H134" s="10">
        <v>400</v>
      </c>
      <c r="I134" s="10">
        <f t="shared" ref="I134:J134" si="132">SUM(C134, E134, G134)</f>
        <v>1354</v>
      </c>
      <c r="J134" s="10">
        <f t="shared" si="132"/>
        <v>400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x14ac:dyDescent="0.2">
      <c r="A135" s="20" t="s">
        <v>31</v>
      </c>
      <c r="B135" s="8">
        <v>2019</v>
      </c>
      <c r="C135" s="9">
        <v>0</v>
      </c>
      <c r="D135" s="9">
        <v>0</v>
      </c>
      <c r="E135" s="9">
        <v>0</v>
      </c>
      <c r="F135" s="9">
        <v>0</v>
      </c>
      <c r="G135" s="10">
        <v>224</v>
      </c>
      <c r="H135" s="10">
        <v>8</v>
      </c>
      <c r="I135" s="10">
        <f t="shared" ref="I135:J135" si="133">SUM(C135, E135, G135)</f>
        <v>224</v>
      </c>
      <c r="J135" s="10">
        <f t="shared" si="133"/>
        <v>8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x14ac:dyDescent="0.2">
      <c r="A136" s="20" t="s">
        <v>33</v>
      </c>
      <c r="B136" s="8">
        <v>2019</v>
      </c>
      <c r="C136" s="9">
        <v>0</v>
      </c>
      <c r="D136" s="9">
        <v>0</v>
      </c>
      <c r="E136" s="9">
        <v>0</v>
      </c>
      <c r="F136" s="9">
        <v>0</v>
      </c>
      <c r="G136" s="10">
        <v>22</v>
      </c>
      <c r="H136" s="10">
        <v>1</v>
      </c>
      <c r="I136" s="10">
        <f t="shared" ref="I136:J136" si="134">SUM(C136, E136, G136)</f>
        <v>22</v>
      </c>
      <c r="J136" s="10">
        <f t="shared" si="134"/>
        <v>1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x14ac:dyDescent="0.2">
      <c r="A137" s="20" t="s">
        <v>32</v>
      </c>
      <c r="B137" s="8">
        <v>2019</v>
      </c>
      <c r="C137" s="9">
        <v>0</v>
      </c>
      <c r="D137" s="9">
        <v>0</v>
      </c>
      <c r="E137" s="9">
        <v>0</v>
      </c>
      <c r="F137" s="9">
        <v>0</v>
      </c>
      <c r="G137" s="10">
        <v>11588</v>
      </c>
      <c r="H137" s="10">
        <v>2785</v>
      </c>
      <c r="I137" s="10">
        <f t="shared" ref="I137:J137" si="135">SUM(C137, E137, G137)</f>
        <v>11588</v>
      </c>
      <c r="J137" s="10">
        <f t="shared" si="135"/>
        <v>2785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x14ac:dyDescent="0.2">
      <c r="A138" s="13" t="s">
        <v>2</v>
      </c>
      <c r="B138" s="14">
        <v>2018</v>
      </c>
      <c r="C138" s="15">
        <v>0</v>
      </c>
      <c r="D138" s="15">
        <v>0</v>
      </c>
      <c r="E138" s="15">
        <v>0</v>
      </c>
      <c r="F138" s="15">
        <v>0</v>
      </c>
      <c r="G138" s="16">
        <v>124045</v>
      </c>
      <c r="H138" s="16">
        <v>64812</v>
      </c>
      <c r="I138" s="10">
        <f t="shared" ref="I138:J138" si="136">SUM(C138, E138, G138)</f>
        <v>124045</v>
      </c>
      <c r="J138" s="10">
        <f t="shared" si="136"/>
        <v>64812</v>
      </c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spans="1:23" x14ac:dyDescent="0.2">
      <c r="A139" s="7" t="s">
        <v>3</v>
      </c>
      <c r="B139" s="8">
        <v>2018</v>
      </c>
      <c r="C139" s="12">
        <v>0</v>
      </c>
      <c r="D139" s="12">
        <v>0</v>
      </c>
      <c r="E139" s="12">
        <v>0</v>
      </c>
      <c r="F139" s="12">
        <v>0</v>
      </c>
      <c r="G139" s="10">
        <v>89562</v>
      </c>
      <c r="H139" s="10">
        <v>67179</v>
      </c>
      <c r="I139" s="10">
        <f t="shared" ref="I139:J139" si="137">SUM(C139, E139, G139)</f>
        <v>89562</v>
      </c>
      <c r="J139" s="10">
        <f t="shared" si="137"/>
        <v>67179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x14ac:dyDescent="0.2">
      <c r="A140" s="7" t="s">
        <v>4</v>
      </c>
      <c r="B140" s="8">
        <v>2018</v>
      </c>
      <c r="C140" s="12">
        <v>0</v>
      </c>
      <c r="D140" s="12">
        <v>0</v>
      </c>
      <c r="E140" s="12">
        <v>0</v>
      </c>
      <c r="F140" s="12">
        <v>0</v>
      </c>
      <c r="G140" s="10">
        <v>34026</v>
      </c>
      <c r="H140" s="10">
        <v>18155</v>
      </c>
      <c r="I140" s="10">
        <f t="shared" ref="I140:J140" si="138">SUM(C140, E140, G140)</f>
        <v>34026</v>
      </c>
      <c r="J140" s="10">
        <f t="shared" si="138"/>
        <v>18155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 spans="1:23" x14ac:dyDescent="0.2">
      <c r="A141" s="7" t="s">
        <v>5</v>
      </c>
      <c r="B141" s="8">
        <v>2018</v>
      </c>
      <c r="C141" s="9">
        <v>0</v>
      </c>
      <c r="D141" s="9">
        <v>0</v>
      </c>
      <c r="E141" s="9">
        <v>0</v>
      </c>
      <c r="F141" s="9">
        <v>0</v>
      </c>
      <c r="G141" s="12">
        <v>4743</v>
      </c>
      <c r="H141" s="12">
        <v>3008</v>
      </c>
      <c r="I141" s="10">
        <f t="shared" ref="I141:J141" si="139">SUM(C141, E141, G141)</f>
        <v>4743</v>
      </c>
      <c r="J141" s="10">
        <f t="shared" si="139"/>
        <v>3008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x14ac:dyDescent="0.2">
      <c r="A142" s="7" t="s">
        <v>7</v>
      </c>
      <c r="B142" s="8">
        <v>2018</v>
      </c>
      <c r="C142" s="12">
        <v>0</v>
      </c>
      <c r="D142" s="12">
        <v>0</v>
      </c>
      <c r="E142" s="12">
        <v>0</v>
      </c>
      <c r="F142" s="12">
        <v>0</v>
      </c>
      <c r="G142" s="10">
        <v>26932</v>
      </c>
      <c r="H142" s="10">
        <v>14509</v>
      </c>
      <c r="I142" s="10">
        <f t="shared" ref="I142:J142" si="140">SUM(C142, E142, G142)</f>
        <v>26932</v>
      </c>
      <c r="J142" s="10">
        <f t="shared" si="140"/>
        <v>14509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 spans="1:23" x14ac:dyDescent="0.2">
      <c r="A143" s="7" t="s">
        <v>8</v>
      </c>
      <c r="B143" s="8">
        <v>2018</v>
      </c>
      <c r="C143" s="9">
        <v>0</v>
      </c>
      <c r="D143" s="9">
        <v>0</v>
      </c>
      <c r="E143" s="9">
        <v>0</v>
      </c>
      <c r="F143" s="9">
        <v>0</v>
      </c>
      <c r="G143" s="10">
        <v>250913</v>
      </c>
      <c r="H143" s="10">
        <v>184168</v>
      </c>
      <c r="I143" s="10">
        <f t="shared" ref="I143:J143" si="141">SUM(C143, E143, G143)</f>
        <v>250913</v>
      </c>
      <c r="J143" s="10">
        <f t="shared" si="141"/>
        <v>184168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 spans="1:23" x14ac:dyDescent="0.2">
      <c r="A144" s="7" t="s">
        <v>9</v>
      </c>
      <c r="B144" s="8">
        <v>2018</v>
      </c>
      <c r="C144" s="12">
        <v>0</v>
      </c>
      <c r="D144" s="12">
        <v>0</v>
      </c>
      <c r="E144" s="12">
        <v>462</v>
      </c>
      <c r="F144" s="12">
        <v>128</v>
      </c>
      <c r="G144" s="10">
        <v>88230</v>
      </c>
      <c r="H144" s="10">
        <v>55257</v>
      </c>
      <c r="I144" s="10">
        <f t="shared" ref="I144:J144" si="142">SUM(C144, E144, G144)</f>
        <v>88692</v>
      </c>
      <c r="J144" s="10">
        <f t="shared" si="142"/>
        <v>55385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 spans="1:23" x14ac:dyDescent="0.2">
      <c r="A145" s="7" t="s">
        <v>10</v>
      </c>
      <c r="B145" s="8">
        <v>2018</v>
      </c>
      <c r="C145" s="9">
        <v>0</v>
      </c>
      <c r="D145" s="9">
        <v>0</v>
      </c>
      <c r="E145" s="9">
        <v>0</v>
      </c>
      <c r="F145" s="9">
        <v>0</v>
      </c>
      <c r="G145" s="10">
        <v>154830</v>
      </c>
      <c r="H145" s="10">
        <v>106746</v>
      </c>
      <c r="I145" s="10">
        <f t="shared" ref="I145:J145" si="143">SUM(C145, E145, G145)</f>
        <v>154830</v>
      </c>
      <c r="J145" s="10">
        <f t="shared" si="143"/>
        <v>106746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x14ac:dyDescent="0.2">
      <c r="A146" s="7" t="s">
        <v>42</v>
      </c>
      <c r="B146" s="8">
        <v>2018</v>
      </c>
      <c r="C146" s="9">
        <v>0</v>
      </c>
      <c r="D146" s="9">
        <v>0</v>
      </c>
      <c r="E146" s="9">
        <v>0</v>
      </c>
      <c r="F146" s="9">
        <v>0</v>
      </c>
      <c r="G146" s="10">
        <v>26</v>
      </c>
      <c r="H146" s="10">
        <v>6</v>
      </c>
      <c r="I146" s="10">
        <f t="shared" ref="I146:J146" si="144">SUM(C146, E146, G146)</f>
        <v>26</v>
      </c>
      <c r="J146" s="10">
        <f t="shared" si="144"/>
        <v>6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spans="1:23" x14ac:dyDescent="0.2">
      <c r="A147" s="7" t="s">
        <v>6</v>
      </c>
      <c r="B147" s="8">
        <v>2018</v>
      </c>
      <c r="C147" s="9">
        <v>0</v>
      </c>
      <c r="D147" s="9">
        <v>0</v>
      </c>
      <c r="E147" s="9">
        <v>0</v>
      </c>
      <c r="F147" s="9">
        <v>0</v>
      </c>
      <c r="G147" s="10">
        <v>2</v>
      </c>
      <c r="H147" s="9">
        <v>0</v>
      </c>
      <c r="I147" s="10">
        <f t="shared" ref="I147:J147" si="145">SUM(C147, E147, G147)</f>
        <v>2</v>
      </c>
      <c r="J147" s="10">
        <f t="shared" si="145"/>
        <v>0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spans="1:23" x14ac:dyDescent="0.2">
      <c r="A148" s="7" t="s">
        <v>11</v>
      </c>
      <c r="B148" s="8">
        <v>2018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10">
        <f t="shared" ref="I148:J148" si="146">SUM(C148, E148, G148)</f>
        <v>0</v>
      </c>
      <c r="J148" s="10">
        <f t="shared" si="146"/>
        <v>0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 spans="1:23" x14ac:dyDescent="0.2">
      <c r="A149" s="7" t="s">
        <v>12</v>
      </c>
      <c r="B149" s="8">
        <v>2018</v>
      </c>
      <c r="C149" s="12">
        <v>526</v>
      </c>
      <c r="D149" s="12">
        <v>187</v>
      </c>
      <c r="E149" s="12">
        <v>202</v>
      </c>
      <c r="F149" s="12">
        <v>147</v>
      </c>
      <c r="G149" s="10">
        <v>40994</v>
      </c>
      <c r="H149" s="10">
        <v>19418</v>
      </c>
      <c r="I149" s="10">
        <f t="shared" ref="I149:J149" si="147">SUM(C149, E149, G149)</f>
        <v>41722</v>
      </c>
      <c r="J149" s="10">
        <f t="shared" si="147"/>
        <v>19752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spans="1:23" x14ac:dyDescent="0.2">
      <c r="A150" s="7" t="s">
        <v>14</v>
      </c>
      <c r="B150" s="8">
        <v>2018</v>
      </c>
      <c r="C150" s="10">
        <v>1137</v>
      </c>
      <c r="D150" s="10">
        <v>697</v>
      </c>
      <c r="E150" s="10">
        <v>547</v>
      </c>
      <c r="F150" s="10">
        <v>605</v>
      </c>
      <c r="G150" s="10">
        <v>39257</v>
      </c>
      <c r="H150" s="10">
        <v>15139</v>
      </c>
      <c r="I150" s="10">
        <f t="shared" ref="I150:J150" si="148">SUM(C150, E150, G150)</f>
        <v>40941</v>
      </c>
      <c r="J150" s="10">
        <f t="shared" si="148"/>
        <v>16441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 spans="1:23" x14ac:dyDescent="0.2">
      <c r="A151" s="7" t="s">
        <v>43</v>
      </c>
      <c r="B151" s="8">
        <v>2018</v>
      </c>
      <c r="C151" s="9">
        <v>0</v>
      </c>
      <c r="D151" s="9">
        <v>0</v>
      </c>
      <c r="E151" s="9">
        <v>0</v>
      </c>
      <c r="F151" s="9">
        <v>0</v>
      </c>
      <c r="G151" s="10">
        <v>1705</v>
      </c>
      <c r="H151" s="10">
        <v>505</v>
      </c>
      <c r="I151" s="10">
        <f t="shared" ref="I151:J151" si="149">SUM(C151, E151, G151)</f>
        <v>1705</v>
      </c>
      <c r="J151" s="10">
        <f t="shared" si="149"/>
        <v>505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 spans="1:23" x14ac:dyDescent="0.2">
      <c r="A152" s="7" t="s">
        <v>15</v>
      </c>
      <c r="B152" s="8">
        <v>2018</v>
      </c>
      <c r="C152" s="10">
        <v>17918</v>
      </c>
      <c r="D152" s="10">
        <v>12359</v>
      </c>
      <c r="E152" s="10">
        <v>19286</v>
      </c>
      <c r="F152" s="10">
        <v>12861</v>
      </c>
      <c r="G152" s="10">
        <v>64688</v>
      </c>
      <c r="H152" s="10">
        <v>38540</v>
      </c>
      <c r="I152" s="10">
        <f t="shared" ref="I152:J152" si="150">SUM(C152, E152, G152)</f>
        <v>101892</v>
      </c>
      <c r="J152" s="10">
        <f t="shared" si="150"/>
        <v>63760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3" x14ac:dyDescent="0.2">
      <c r="A153" s="7" t="s">
        <v>13</v>
      </c>
      <c r="B153" s="8">
        <v>2018</v>
      </c>
      <c r="C153" s="12">
        <v>0</v>
      </c>
      <c r="D153" s="12">
        <v>0</v>
      </c>
      <c r="E153" s="12">
        <v>0</v>
      </c>
      <c r="F153" s="12">
        <v>0</v>
      </c>
      <c r="G153" s="10">
        <v>6129</v>
      </c>
      <c r="H153" s="10">
        <v>1734</v>
      </c>
      <c r="I153" s="10">
        <f t="shared" ref="I153:J153" si="151">SUM(C153, E153, G153)</f>
        <v>6129</v>
      </c>
      <c r="J153" s="10">
        <f t="shared" si="151"/>
        <v>1734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 spans="1:23" x14ac:dyDescent="0.2">
      <c r="A154" s="7" t="s">
        <v>16</v>
      </c>
      <c r="B154" s="8">
        <v>2018</v>
      </c>
      <c r="C154" s="10">
        <v>12</v>
      </c>
      <c r="D154" s="10">
        <v>3</v>
      </c>
      <c r="E154" s="9">
        <v>0</v>
      </c>
      <c r="F154" s="9">
        <v>0</v>
      </c>
      <c r="G154" s="10">
        <v>35195</v>
      </c>
      <c r="H154" s="10">
        <v>15405</v>
      </c>
      <c r="I154" s="10">
        <f t="shared" ref="I154:J154" si="152">SUM(C154, E154, G154)</f>
        <v>35207</v>
      </c>
      <c r="J154" s="10">
        <f t="shared" si="152"/>
        <v>15408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 spans="1:23" x14ac:dyDescent="0.2">
      <c r="A155" s="7" t="s">
        <v>17</v>
      </c>
      <c r="B155" s="8">
        <v>2018</v>
      </c>
      <c r="C155" s="10">
        <v>330</v>
      </c>
      <c r="D155" s="10">
        <v>21</v>
      </c>
      <c r="E155" s="9">
        <v>0</v>
      </c>
      <c r="F155" s="9">
        <v>0</v>
      </c>
      <c r="G155" s="10">
        <v>11625</v>
      </c>
      <c r="H155" s="10">
        <v>4966</v>
      </c>
      <c r="I155" s="10">
        <f t="shared" ref="I155:J155" si="153">SUM(C155, E155, G155)</f>
        <v>11955</v>
      </c>
      <c r="J155" s="10">
        <f t="shared" si="153"/>
        <v>4987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 spans="1:23" x14ac:dyDescent="0.2">
      <c r="A156" s="7" t="s">
        <v>18</v>
      </c>
      <c r="B156" s="8">
        <v>2018</v>
      </c>
      <c r="C156" s="9">
        <v>0</v>
      </c>
      <c r="D156" s="9">
        <v>0</v>
      </c>
      <c r="E156" s="10">
        <v>14</v>
      </c>
      <c r="F156" s="10">
        <v>8</v>
      </c>
      <c r="G156" s="10">
        <v>72346</v>
      </c>
      <c r="H156" s="10">
        <v>22091</v>
      </c>
      <c r="I156" s="10">
        <f t="shared" ref="I156:J156" si="154">SUM(C156, E156, G156)</f>
        <v>72360</v>
      </c>
      <c r="J156" s="10">
        <f t="shared" si="154"/>
        <v>22099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 spans="1:23" x14ac:dyDescent="0.2">
      <c r="A157" s="7" t="s">
        <v>19</v>
      </c>
      <c r="B157" s="8">
        <v>2018</v>
      </c>
      <c r="C157" s="9">
        <v>0</v>
      </c>
      <c r="D157" s="12">
        <v>0</v>
      </c>
      <c r="E157" s="12">
        <v>0</v>
      </c>
      <c r="F157" s="12">
        <v>0</v>
      </c>
      <c r="G157" s="10">
        <v>11655</v>
      </c>
      <c r="H157" s="9">
        <v>3594</v>
      </c>
      <c r="I157" s="10">
        <f t="shared" ref="I157:J157" si="155">SUM(C157, E157, G157)</f>
        <v>11655</v>
      </c>
      <c r="J157" s="10">
        <f t="shared" si="155"/>
        <v>3594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 spans="1:23" x14ac:dyDescent="0.2">
      <c r="A158" s="7" t="s">
        <v>20</v>
      </c>
      <c r="B158" s="8">
        <v>2018</v>
      </c>
      <c r="C158" s="9">
        <v>0</v>
      </c>
      <c r="D158" s="12">
        <v>0</v>
      </c>
      <c r="E158" s="12">
        <v>0</v>
      </c>
      <c r="F158" s="12">
        <v>0</v>
      </c>
      <c r="G158" s="10">
        <v>1747</v>
      </c>
      <c r="H158" s="10">
        <v>388</v>
      </c>
      <c r="I158" s="10">
        <f t="shared" ref="I158:J158" si="156">SUM(C158, E158, G158)</f>
        <v>1747</v>
      </c>
      <c r="J158" s="10">
        <f t="shared" si="156"/>
        <v>388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spans="1:23" x14ac:dyDescent="0.2">
      <c r="A159" s="7" t="s">
        <v>21</v>
      </c>
      <c r="B159" s="8">
        <v>2018</v>
      </c>
      <c r="C159" s="9">
        <v>0</v>
      </c>
      <c r="D159" s="12">
        <v>0</v>
      </c>
      <c r="E159" s="12">
        <v>0</v>
      </c>
      <c r="F159" s="9">
        <v>0</v>
      </c>
      <c r="G159" s="10">
        <v>3167</v>
      </c>
      <c r="H159" s="10">
        <v>1552</v>
      </c>
      <c r="I159" s="10">
        <f t="shared" ref="I159:J159" si="157">SUM(C159, E159, G159)</f>
        <v>3167</v>
      </c>
      <c r="J159" s="10">
        <f t="shared" si="157"/>
        <v>1552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 spans="1:23" x14ac:dyDescent="0.2">
      <c r="A160" s="7" t="s">
        <v>22</v>
      </c>
      <c r="B160" s="8">
        <v>2018</v>
      </c>
      <c r="C160" s="9">
        <v>0</v>
      </c>
      <c r="D160" s="9">
        <v>0</v>
      </c>
      <c r="E160" s="9">
        <v>0</v>
      </c>
      <c r="F160" s="9">
        <v>0</v>
      </c>
      <c r="G160" s="10">
        <v>2702</v>
      </c>
      <c r="H160" s="10">
        <v>260</v>
      </c>
      <c r="I160" s="10">
        <f t="shared" ref="I160:J160" si="158">SUM(C160, E160, G160)</f>
        <v>2702</v>
      </c>
      <c r="J160" s="10">
        <f t="shared" si="158"/>
        <v>260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 spans="1:23" x14ac:dyDescent="0.2">
      <c r="A161" s="7" t="s">
        <v>23</v>
      </c>
      <c r="B161" s="8">
        <v>2018</v>
      </c>
      <c r="C161" s="9">
        <v>0</v>
      </c>
      <c r="D161" s="9">
        <v>0</v>
      </c>
      <c r="E161" s="9">
        <v>0</v>
      </c>
      <c r="F161" s="9">
        <v>0</v>
      </c>
      <c r="G161" s="10">
        <v>1733</v>
      </c>
      <c r="H161" s="10">
        <v>253</v>
      </c>
      <c r="I161" s="10">
        <f t="shared" ref="I161:J161" si="159">SUM(C161, E161, G161)</f>
        <v>1733</v>
      </c>
      <c r="J161" s="10">
        <f t="shared" si="159"/>
        <v>253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spans="1:23" x14ac:dyDescent="0.2">
      <c r="A162" s="7" t="s">
        <v>24</v>
      </c>
      <c r="B162" s="8">
        <v>2018</v>
      </c>
      <c r="C162" s="9">
        <v>0</v>
      </c>
      <c r="D162" s="9">
        <v>0</v>
      </c>
      <c r="E162" s="9">
        <v>0</v>
      </c>
      <c r="F162" s="9">
        <v>0</v>
      </c>
      <c r="G162" s="10">
        <v>7818</v>
      </c>
      <c r="H162" s="10">
        <v>4028</v>
      </c>
      <c r="I162" s="10">
        <f t="shared" ref="I162:J162" si="160">SUM(C162, E162, G162)</f>
        <v>7818</v>
      </c>
      <c r="J162" s="10">
        <f t="shared" si="160"/>
        <v>4028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 spans="1:23" x14ac:dyDescent="0.2">
      <c r="A163" s="7" t="s">
        <v>26</v>
      </c>
      <c r="B163" s="8">
        <v>2018</v>
      </c>
      <c r="C163" s="9">
        <v>0</v>
      </c>
      <c r="D163" s="9">
        <v>0</v>
      </c>
      <c r="E163" s="9">
        <v>0</v>
      </c>
      <c r="F163" s="9">
        <v>0</v>
      </c>
      <c r="G163" s="10">
        <v>8943</v>
      </c>
      <c r="H163" s="10">
        <v>2875</v>
      </c>
      <c r="I163" s="10">
        <f t="shared" ref="I163:J163" si="161">SUM(C163, E163, G163)</f>
        <v>8943</v>
      </c>
      <c r="J163" s="10">
        <f t="shared" si="161"/>
        <v>2875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 spans="1:23" x14ac:dyDescent="0.2">
      <c r="A164" s="7" t="s">
        <v>27</v>
      </c>
      <c r="B164" s="8">
        <v>2018</v>
      </c>
      <c r="C164" s="12">
        <v>0</v>
      </c>
      <c r="D164" s="12">
        <v>0</v>
      </c>
      <c r="E164" s="12">
        <v>1737</v>
      </c>
      <c r="F164" s="12">
        <v>1119</v>
      </c>
      <c r="G164" s="10">
        <v>70098</v>
      </c>
      <c r="H164" s="10">
        <v>31788</v>
      </c>
      <c r="I164" s="10">
        <f t="shared" ref="I164:J164" si="162">SUM(C164, E164, G164)</f>
        <v>71835</v>
      </c>
      <c r="J164" s="10">
        <f t="shared" si="162"/>
        <v>32907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spans="1:23" x14ac:dyDescent="0.2">
      <c r="A165" s="7" t="s">
        <v>29</v>
      </c>
      <c r="B165" s="8">
        <v>2018</v>
      </c>
      <c r="C165" s="12">
        <v>0</v>
      </c>
      <c r="D165" s="12">
        <v>0</v>
      </c>
      <c r="E165" s="12">
        <v>0</v>
      </c>
      <c r="F165" s="12">
        <v>0</v>
      </c>
      <c r="G165" s="10">
        <v>8822</v>
      </c>
      <c r="H165" s="10">
        <v>2675</v>
      </c>
      <c r="I165" s="10">
        <f t="shared" ref="I165:J165" si="163">SUM(C165, E165, G165)</f>
        <v>8822</v>
      </c>
      <c r="J165" s="10">
        <f t="shared" si="163"/>
        <v>2675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 spans="1:23" x14ac:dyDescent="0.2">
      <c r="A166" s="7" t="s">
        <v>25</v>
      </c>
      <c r="B166" s="8">
        <v>2018</v>
      </c>
      <c r="C166" s="9">
        <v>0</v>
      </c>
      <c r="D166" s="12">
        <v>0</v>
      </c>
      <c r="E166" s="12">
        <v>0</v>
      </c>
      <c r="F166" s="12">
        <v>0</v>
      </c>
      <c r="G166" s="10">
        <v>1548</v>
      </c>
      <c r="H166" s="10">
        <v>209</v>
      </c>
      <c r="I166" s="10">
        <f t="shared" ref="I166:J166" si="164">SUM(C166, E166, G166)</f>
        <v>1548</v>
      </c>
      <c r="J166" s="10">
        <f t="shared" si="164"/>
        <v>209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spans="1:23" x14ac:dyDescent="0.2">
      <c r="A167" s="7" t="s">
        <v>28</v>
      </c>
      <c r="B167" s="8">
        <v>2018</v>
      </c>
      <c r="C167" s="9">
        <v>0</v>
      </c>
      <c r="D167" s="12">
        <v>0</v>
      </c>
      <c r="E167" s="12">
        <v>0</v>
      </c>
      <c r="F167" s="12">
        <v>0</v>
      </c>
      <c r="G167" s="10">
        <v>15465</v>
      </c>
      <c r="H167" s="10">
        <v>3444</v>
      </c>
      <c r="I167" s="10">
        <f t="shared" ref="I167:J167" si="165">SUM(C167, E167, G167)</f>
        <v>15465</v>
      </c>
      <c r="J167" s="10">
        <f t="shared" si="165"/>
        <v>3444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 x14ac:dyDescent="0.2">
      <c r="A168" s="7" t="s">
        <v>30</v>
      </c>
      <c r="B168" s="8">
        <v>2018</v>
      </c>
      <c r="C168" s="9">
        <v>0</v>
      </c>
      <c r="D168" s="12">
        <v>0</v>
      </c>
      <c r="E168" s="12">
        <v>0</v>
      </c>
      <c r="F168" s="9">
        <v>0</v>
      </c>
      <c r="G168" s="10">
        <v>1204</v>
      </c>
      <c r="H168" s="10">
        <v>446</v>
      </c>
      <c r="I168" s="10">
        <f t="shared" ref="I168:J168" si="166">SUM(C168, E168, G168)</f>
        <v>1204</v>
      </c>
      <c r="J168" s="10">
        <f t="shared" si="166"/>
        <v>446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spans="1:23" x14ac:dyDescent="0.2">
      <c r="A169" s="7" t="s">
        <v>31</v>
      </c>
      <c r="B169" s="8">
        <v>2018</v>
      </c>
      <c r="C169" s="9">
        <v>0</v>
      </c>
      <c r="D169" s="9">
        <v>0</v>
      </c>
      <c r="E169" s="9">
        <v>0</v>
      </c>
      <c r="F169" s="9">
        <v>0</v>
      </c>
      <c r="G169" s="10">
        <v>1710</v>
      </c>
      <c r="H169" s="10">
        <v>130</v>
      </c>
      <c r="I169" s="10">
        <f t="shared" ref="I169:J169" si="167">SUM(C169, E169, G169)</f>
        <v>1710</v>
      </c>
      <c r="J169" s="10">
        <f t="shared" si="167"/>
        <v>130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spans="1:23" x14ac:dyDescent="0.2">
      <c r="A170" s="7" t="s">
        <v>33</v>
      </c>
      <c r="B170" s="8">
        <v>2018</v>
      </c>
      <c r="C170" s="12">
        <v>0</v>
      </c>
      <c r="D170" s="12">
        <v>0</v>
      </c>
      <c r="E170" s="12">
        <v>0</v>
      </c>
      <c r="F170" s="12">
        <v>0</v>
      </c>
      <c r="G170" s="10">
        <v>7</v>
      </c>
      <c r="H170" s="10">
        <v>1</v>
      </c>
      <c r="I170" s="10">
        <f t="shared" ref="I170:J170" si="168">SUM(C170, E170, G170)</f>
        <v>7</v>
      </c>
      <c r="J170" s="10">
        <f t="shared" si="168"/>
        <v>1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 spans="1:23" x14ac:dyDescent="0.2">
      <c r="A171" s="7" t="s">
        <v>32</v>
      </c>
      <c r="B171" s="8">
        <v>2018</v>
      </c>
      <c r="C171" s="12">
        <v>0</v>
      </c>
      <c r="D171" s="12">
        <v>0</v>
      </c>
      <c r="E171" s="12">
        <v>0</v>
      </c>
      <c r="F171" s="12">
        <v>0</v>
      </c>
      <c r="G171" s="10">
        <v>11762</v>
      </c>
      <c r="H171" s="10">
        <v>2505</v>
      </c>
      <c r="I171" s="10">
        <f t="shared" ref="I171:J171" si="169">SUM(C171, E171, G171)</f>
        <v>11762</v>
      </c>
      <c r="J171" s="10">
        <f t="shared" si="169"/>
        <v>2505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 spans="1:23" x14ac:dyDescent="0.2">
      <c r="A172" s="13" t="s">
        <v>2</v>
      </c>
      <c r="B172" s="14">
        <v>2017</v>
      </c>
      <c r="C172" s="15">
        <v>0</v>
      </c>
      <c r="D172" s="15">
        <v>0</v>
      </c>
      <c r="E172" s="15">
        <v>0</v>
      </c>
      <c r="F172" s="15">
        <v>0</v>
      </c>
      <c r="G172" s="16">
        <v>123696</v>
      </c>
      <c r="H172" s="16">
        <v>68507</v>
      </c>
      <c r="I172" s="10">
        <f t="shared" ref="I172:J172" si="170">SUM(C172, E172, G172)</f>
        <v>123696</v>
      </c>
      <c r="J172" s="10">
        <f t="shared" si="170"/>
        <v>68507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 spans="1:23" x14ac:dyDescent="0.2">
      <c r="A173" s="7" t="s">
        <v>3</v>
      </c>
      <c r="B173" s="8">
        <v>2017</v>
      </c>
      <c r="C173" s="12">
        <v>0</v>
      </c>
      <c r="D173" s="12">
        <v>0</v>
      </c>
      <c r="E173" s="12">
        <v>806</v>
      </c>
      <c r="F173" s="12">
        <v>748</v>
      </c>
      <c r="G173" s="10">
        <v>84653</v>
      </c>
      <c r="H173" s="10">
        <v>65296</v>
      </c>
      <c r="I173" s="10">
        <f t="shared" ref="I173:J173" si="171">SUM(C173, E173, G173)</f>
        <v>85459</v>
      </c>
      <c r="J173" s="10">
        <f t="shared" si="171"/>
        <v>66044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spans="1:23" x14ac:dyDescent="0.2">
      <c r="A174" s="7" t="s">
        <v>4</v>
      </c>
      <c r="B174" s="8">
        <v>2017</v>
      </c>
      <c r="C174" s="12">
        <v>0</v>
      </c>
      <c r="D174" s="12">
        <v>0</v>
      </c>
      <c r="E174" s="12">
        <v>903</v>
      </c>
      <c r="F174" s="12">
        <v>480</v>
      </c>
      <c r="G174" s="10">
        <v>37754</v>
      </c>
      <c r="H174" s="10">
        <v>21319</v>
      </c>
      <c r="I174" s="10">
        <f t="shared" ref="I174:J174" si="172">SUM(C174, E174, G174)</f>
        <v>38657</v>
      </c>
      <c r="J174" s="10">
        <f t="shared" si="172"/>
        <v>21799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 spans="1:23" x14ac:dyDescent="0.2">
      <c r="A175" s="7" t="s">
        <v>5</v>
      </c>
      <c r="B175" s="8">
        <v>2017</v>
      </c>
      <c r="C175" s="9">
        <v>0</v>
      </c>
      <c r="D175" s="9">
        <v>0</v>
      </c>
      <c r="E175" s="9">
        <v>0</v>
      </c>
      <c r="F175" s="9">
        <v>0</v>
      </c>
      <c r="G175" s="12">
        <v>4505</v>
      </c>
      <c r="H175" s="12">
        <v>2913</v>
      </c>
      <c r="I175" s="10">
        <f t="shared" ref="I175:J175" si="173">SUM(C175, E175, G175)</f>
        <v>4505</v>
      </c>
      <c r="J175" s="10">
        <f t="shared" si="173"/>
        <v>2913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 spans="1:23" x14ac:dyDescent="0.2">
      <c r="A176" s="7" t="s">
        <v>7</v>
      </c>
      <c r="B176" s="8">
        <v>2017</v>
      </c>
      <c r="C176" s="12">
        <v>1000</v>
      </c>
      <c r="D176" s="12">
        <v>0</v>
      </c>
      <c r="E176" s="12">
        <v>0</v>
      </c>
      <c r="F176" s="12">
        <v>0</v>
      </c>
      <c r="G176" s="10">
        <v>26446</v>
      </c>
      <c r="H176" s="10">
        <v>14034</v>
      </c>
      <c r="I176" s="10">
        <f t="shared" ref="I176:J176" si="174">SUM(C176, E176, G176)</f>
        <v>27446</v>
      </c>
      <c r="J176" s="10">
        <f t="shared" si="174"/>
        <v>14034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 spans="1:23" x14ac:dyDescent="0.2">
      <c r="A177" s="7" t="s">
        <v>8</v>
      </c>
      <c r="B177" s="8">
        <v>2017</v>
      </c>
      <c r="C177" s="9">
        <v>0</v>
      </c>
      <c r="D177" s="9">
        <v>0</v>
      </c>
      <c r="E177" s="9">
        <v>0</v>
      </c>
      <c r="F177" s="9">
        <v>0</v>
      </c>
      <c r="G177" s="10">
        <v>263339</v>
      </c>
      <c r="H177" s="10">
        <v>120792</v>
      </c>
      <c r="I177" s="10">
        <f t="shared" ref="I177:J177" si="175">SUM(C177, E177, G177)</f>
        <v>263339</v>
      </c>
      <c r="J177" s="10">
        <f t="shared" si="175"/>
        <v>120792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 spans="1:23" x14ac:dyDescent="0.2">
      <c r="A178" s="7" t="s">
        <v>9</v>
      </c>
      <c r="B178" s="8">
        <v>2017</v>
      </c>
      <c r="C178" s="12">
        <v>0</v>
      </c>
      <c r="D178" s="12">
        <v>0</v>
      </c>
      <c r="E178" s="12">
        <v>492</v>
      </c>
      <c r="F178" s="12">
        <v>41</v>
      </c>
      <c r="G178" s="10">
        <v>90480</v>
      </c>
      <c r="H178" s="10">
        <v>59435</v>
      </c>
      <c r="I178" s="10">
        <f t="shared" ref="I178:J178" si="176">SUM(C178, E178, G178)</f>
        <v>90972</v>
      </c>
      <c r="J178" s="10">
        <f t="shared" si="176"/>
        <v>59476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 spans="1:23" x14ac:dyDescent="0.2">
      <c r="A179" s="7" t="s">
        <v>10</v>
      </c>
      <c r="B179" s="8">
        <v>2017</v>
      </c>
      <c r="C179" s="9">
        <v>0</v>
      </c>
      <c r="D179" s="9">
        <v>0</v>
      </c>
      <c r="E179" s="9">
        <v>0</v>
      </c>
      <c r="F179" s="9">
        <v>0</v>
      </c>
      <c r="G179" s="10">
        <v>161416</v>
      </c>
      <c r="H179" s="10">
        <v>116345</v>
      </c>
      <c r="I179" s="10">
        <f t="shared" ref="I179:J179" si="177">SUM(C179, E179, G179)</f>
        <v>161416</v>
      </c>
      <c r="J179" s="10">
        <f t="shared" si="177"/>
        <v>116345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 spans="1:23" x14ac:dyDescent="0.2">
      <c r="A180" s="7" t="s">
        <v>42</v>
      </c>
      <c r="B180" s="8">
        <v>2017</v>
      </c>
      <c r="C180" s="9">
        <v>0</v>
      </c>
      <c r="D180" s="9">
        <v>0</v>
      </c>
      <c r="E180" s="9">
        <v>0</v>
      </c>
      <c r="F180" s="9">
        <v>0</v>
      </c>
      <c r="G180" s="10">
        <v>26</v>
      </c>
      <c r="H180" s="10">
        <v>3</v>
      </c>
      <c r="I180" s="10">
        <f t="shared" ref="I180:J180" si="178">SUM(C180, E180, G180)</f>
        <v>26</v>
      </c>
      <c r="J180" s="10">
        <f t="shared" si="178"/>
        <v>3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 spans="1:23" x14ac:dyDescent="0.2">
      <c r="A181" s="7" t="s">
        <v>6</v>
      </c>
      <c r="B181" s="8">
        <v>2017</v>
      </c>
      <c r="C181" s="9">
        <v>0</v>
      </c>
      <c r="D181" s="9">
        <v>0</v>
      </c>
      <c r="E181" s="9">
        <v>0</v>
      </c>
      <c r="F181" s="9">
        <v>0</v>
      </c>
      <c r="G181" s="10">
        <v>2</v>
      </c>
      <c r="H181" s="9">
        <v>0</v>
      </c>
      <c r="I181" s="10">
        <f t="shared" ref="I181:J181" si="179">SUM(C181, E181, G181)</f>
        <v>2</v>
      </c>
      <c r="J181" s="10">
        <f t="shared" si="179"/>
        <v>0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 spans="1:23" x14ac:dyDescent="0.2">
      <c r="A182" s="7" t="s">
        <v>11</v>
      </c>
      <c r="B182" s="8">
        <v>2017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10">
        <f t="shared" ref="I182:J182" si="180">SUM(C182, E182, G182)</f>
        <v>0</v>
      </c>
      <c r="J182" s="10">
        <f t="shared" si="180"/>
        <v>0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spans="1:23" x14ac:dyDescent="0.2">
      <c r="A183" s="7" t="s">
        <v>12</v>
      </c>
      <c r="B183" s="8">
        <v>2017</v>
      </c>
      <c r="C183" s="12">
        <v>0</v>
      </c>
      <c r="D183" s="12">
        <v>0</v>
      </c>
      <c r="E183" s="12">
        <v>212</v>
      </c>
      <c r="F183" s="12">
        <v>48</v>
      </c>
      <c r="G183" s="10">
        <v>37095</v>
      </c>
      <c r="H183" s="10">
        <v>16705</v>
      </c>
      <c r="I183" s="10">
        <f t="shared" ref="I183:J183" si="181">SUM(C183, E183, G183)</f>
        <v>37307</v>
      </c>
      <c r="J183" s="10">
        <f t="shared" si="181"/>
        <v>16753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 spans="1:23" x14ac:dyDescent="0.2">
      <c r="A184" s="7" t="s">
        <v>14</v>
      </c>
      <c r="B184" s="8">
        <v>2017</v>
      </c>
      <c r="C184" s="10">
        <v>1257</v>
      </c>
      <c r="D184" s="10">
        <v>518</v>
      </c>
      <c r="E184" s="10">
        <v>220</v>
      </c>
      <c r="F184" s="10">
        <v>126</v>
      </c>
      <c r="G184" s="10">
        <v>38737</v>
      </c>
      <c r="H184" s="10">
        <v>17129</v>
      </c>
      <c r="I184" s="10">
        <f t="shared" ref="I184:J184" si="182">SUM(C184, E184, G184)</f>
        <v>40214</v>
      </c>
      <c r="J184" s="10">
        <f t="shared" si="182"/>
        <v>17773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 spans="1:23" x14ac:dyDescent="0.2">
      <c r="A185" s="7" t="s">
        <v>44</v>
      </c>
      <c r="B185" s="8">
        <v>2017</v>
      </c>
      <c r="C185" s="9">
        <v>0</v>
      </c>
      <c r="D185" s="9">
        <v>0</v>
      </c>
      <c r="E185" s="9">
        <v>0</v>
      </c>
      <c r="F185" s="9">
        <v>0</v>
      </c>
      <c r="G185" s="10">
        <v>1677</v>
      </c>
      <c r="H185" s="10">
        <v>485</v>
      </c>
      <c r="I185" s="10">
        <f t="shared" ref="I185:J185" si="183">SUM(C185, E185, G185)</f>
        <v>1677</v>
      </c>
      <c r="J185" s="10">
        <f t="shared" si="183"/>
        <v>485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 spans="1:23" x14ac:dyDescent="0.2">
      <c r="A186" s="7" t="s">
        <v>15</v>
      </c>
      <c r="B186" s="8">
        <v>2017</v>
      </c>
      <c r="C186" s="10">
        <v>21025</v>
      </c>
      <c r="D186" s="10">
        <v>13968</v>
      </c>
      <c r="E186" s="10">
        <v>19148</v>
      </c>
      <c r="F186" s="10">
        <v>13736</v>
      </c>
      <c r="G186" s="10">
        <v>64649</v>
      </c>
      <c r="H186" s="10">
        <v>37180</v>
      </c>
      <c r="I186" s="10">
        <f t="shared" ref="I186:J186" si="184">SUM(C186, E186, G186)</f>
        <v>104822</v>
      </c>
      <c r="J186" s="10">
        <f t="shared" si="184"/>
        <v>64884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 spans="1:23" x14ac:dyDescent="0.2">
      <c r="A187" s="7" t="s">
        <v>13</v>
      </c>
      <c r="B187" s="8">
        <v>2017</v>
      </c>
      <c r="C187" s="12">
        <v>0</v>
      </c>
      <c r="D187" s="12">
        <v>0</v>
      </c>
      <c r="E187" s="12">
        <v>0</v>
      </c>
      <c r="F187" s="12">
        <v>0</v>
      </c>
      <c r="G187" s="10">
        <v>6129</v>
      </c>
      <c r="H187" s="10">
        <v>1874</v>
      </c>
      <c r="I187" s="10">
        <f t="shared" ref="I187:J187" si="185">SUM(C187, E187, G187)</f>
        <v>6129</v>
      </c>
      <c r="J187" s="10">
        <f t="shared" si="185"/>
        <v>1874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 spans="1:23" x14ac:dyDescent="0.2">
      <c r="A188" s="7" t="s">
        <v>16</v>
      </c>
      <c r="B188" s="8">
        <v>2017</v>
      </c>
      <c r="C188" s="10">
        <v>22</v>
      </c>
      <c r="D188" s="10">
        <v>4</v>
      </c>
      <c r="E188" s="10">
        <v>23</v>
      </c>
      <c r="F188" s="10">
        <v>5</v>
      </c>
      <c r="G188" s="10">
        <v>35370</v>
      </c>
      <c r="H188" s="10">
        <v>17310</v>
      </c>
      <c r="I188" s="10">
        <f t="shared" ref="I188:J188" si="186">SUM(C188, E188, G188)</f>
        <v>35415</v>
      </c>
      <c r="J188" s="10">
        <f t="shared" si="186"/>
        <v>17319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 spans="1:23" x14ac:dyDescent="0.2">
      <c r="A189" s="7" t="s">
        <v>17</v>
      </c>
      <c r="B189" s="8">
        <v>2017</v>
      </c>
      <c r="C189" s="10">
        <v>330</v>
      </c>
      <c r="D189" s="10">
        <v>10</v>
      </c>
      <c r="E189" s="9">
        <v>0</v>
      </c>
      <c r="F189" s="9">
        <v>0</v>
      </c>
      <c r="G189" s="10">
        <v>13257</v>
      </c>
      <c r="H189" s="10">
        <v>4752</v>
      </c>
      <c r="I189" s="10">
        <f t="shared" ref="I189:J189" si="187">SUM(C189, E189, G189)</f>
        <v>13587</v>
      </c>
      <c r="J189" s="10">
        <f t="shared" si="187"/>
        <v>4762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 spans="1:23" x14ac:dyDescent="0.2">
      <c r="A190" s="7" t="s">
        <v>18</v>
      </c>
      <c r="B190" s="8">
        <v>2017</v>
      </c>
      <c r="C190" s="9">
        <v>0</v>
      </c>
      <c r="D190" s="9">
        <v>0</v>
      </c>
      <c r="E190" s="10">
        <v>15</v>
      </c>
      <c r="F190" s="10">
        <v>6</v>
      </c>
      <c r="G190" s="10">
        <v>66454</v>
      </c>
      <c r="H190" s="10">
        <v>22035</v>
      </c>
      <c r="I190" s="10">
        <f t="shared" ref="I190:J190" si="188">SUM(C190, E190, G190)</f>
        <v>66469</v>
      </c>
      <c r="J190" s="10">
        <f t="shared" si="188"/>
        <v>22041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 spans="1:23" x14ac:dyDescent="0.2">
      <c r="A191" s="7" t="s">
        <v>19</v>
      </c>
      <c r="B191" s="8">
        <v>2017</v>
      </c>
      <c r="C191" s="9">
        <v>0</v>
      </c>
      <c r="D191" s="12">
        <v>0</v>
      </c>
      <c r="E191" s="12">
        <v>0</v>
      </c>
      <c r="F191" s="12">
        <v>0</v>
      </c>
      <c r="G191" s="10">
        <v>11580</v>
      </c>
      <c r="H191" s="9">
        <v>3925</v>
      </c>
      <c r="I191" s="10">
        <f t="shared" ref="I191:J191" si="189">SUM(C191, E191, G191)</f>
        <v>11580</v>
      </c>
      <c r="J191" s="10">
        <f t="shared" si="189"/>
        <v>3925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 spans="1:23" x14ac:dyDescent="0.2">
      <c r="A192" s="7" t="s">
        <v>20</v>
      </c>
      <c r="B192" s="8">
        <v>2017</v>
      </c>
      <c r="C192" s="9">
        <v>0</v>
      </c>
      <c r="D192" s="12">
        <v>0</v>
      </c>
      <c r="E192" s="12">
        <v>0</v>
      </c>
      <c r="F192" s="12">
        <v>0</v>
      </c>
      <c r="G192" s="10">
        <v>1674</v>
      </c>
      <c r="H192" s="10">
        <v>493</v>
      </c>
      <c r="I192" s="10">
        <f t="shared" ref="I192:J192" si="190">SUM(C192, E192, G192)</f>
        <v>1674</v>
      </c>
      <c r="J192" s="10">
        <f t="shared" si="190"/>
        <v>493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 spans="1:23" x14ac:dyDescent="0.2">
      <c r="A193" s="7" t="s">
        <v>21</v>
      </c>
      <c r="B193" s="8">
        <v>2017</v>
      </c>
      <c r="C193" s="9">
        <v>0</v>
      </c>
      <c r="D193" s="12">
        <v>0</v>
      </c>
      <c r="E193" s="12">
        <v>0</v>
      </c>
      <c r="F193" s="9">
        <v>0</v>
      </c>
      <c r="G193" s="10">
        <v>3695</v>
      </c>
      <c r="H193" s="10">
        <v>2035</v>
      </c>
      <c r="I193" s="10">
        <f t="shared" ref="I193:J193" si="191">SUM(C193, E193, G193)</f>
        <v>3695</v>
      </c>
      <c r="J193" s="10">
        <f t="shared" si="191"/>
        <v>2035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 spans="1:23" x14ac:dyDescent="0.2">
      <c r="A194" s="7" t="s">
        <v>22</v>
      </c>
      <c r="B194" s="8">
        <v>2017</v>
      </c>
      <c r="C194" s="9">
        <v>0</v>
      </c>
      <c r="D194" s="9">
        <v>0</v>
      </c>
      <c r="E194" s="9">
        <v>0</v>
      </c>
      <c r="F194" s="9">
        <v>0</v>
      </c>
      <c r="G194" s="10">
        <v>2893</v>
      </c>
      <c r="H194" s="10">
        <v>409</v>
      </c>
      <c r="I194" s="10">
        <f t="shared" ref="I194:J194" si="192">SUM(C194, E194, G194)</f>
        <v>2893</v>
      </c>
      <c r="J194" s="10">
        <f t="shared" si="192"/>
        <v>409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 spans="1:23" x14ac:dyDescent="0.2">
      <c r="A195" s="7" t="s">
        <v>23</v>
      </c>
      <c r="B195" s="8">
        <v>2017</v>
      </c>
      <c r="C195" s="9">
        <v>0</v>
      </c>
      <c r="D195" s="9">
        <v>0</v>
      </c>
      <c r="E195" s="9">
        <v>0</v>
      </c>
      <c r="F195" s="9">
        <v>0</v>
      </c>
      <c r="G195" s="10">
        <v>1733</v>
      </c>
      <c r="H195" s="10">
        <v>286</v>
      </c>
      <c r="I195" s="10">
        <f t="shared" ref="I195:J195" si="193">SUM(C195, E195, G195)</f>
        <v>1733</v>
      </c>
      <c r="J195" s="10">
        <f t="shared" si="193"/>
        <v>286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 spans="1:23" x14ac:dyDescent="0.2">
      <c r="A196" s="7" t="s">
        <v>24</v>
      </c>
      <c r="B196" s="8">
        <v>2017</v>
      </c>
      <c r="C196" s="9">
        <v>0</v>
      </c>
      <c r="D196" s="9">
        <v>0</v>
      </c>
      <c r="E196" s="9">
        <v>0</v>
      </c>
      <c r="F196" s="9">
        <v>0</v>
      </c>
      <c r="G196" s="10">
        <v>7518</v>
      </c>
      <c r="H196" s="10">
        <v>2934</v>
      </c>
      <c r="I196" s="10">
        <f t="shared" ref="I196:J196" si="194">SUM(C196, E196, G196)</f>
        <v>7518</v>
      </c>
      <c r="J196" s="10">
        <f t="shared" si="194"/>
        <v>2934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 spans="1:23" x14ac:dyDescent="0.2">
      <c r="A197" s="7" t="s">
        <v>26</v>
      </c>
      <c r="B197" s="8">
        <v>2017</v>
      </c>
      <c r="C197" s="9">
        <v>0</v>
      </c>
      <c r="D197" s="9">
        <v>0</v>
      </c>
      <c r="E197" s="9">
        <v>0</v>
      </c>
      <c r="F197" s="9">
        <v>0</v>
      </c>
      <c r="G197" s="10">
        <v>8657</v>
      </c>
      <c r="H197" s="10">
        <v>3065</v>
      </c>
      <c r="I197" s="10">
        <f t="shared" ref="I197:J197" si="195">SUM(C197, E197, G197)</f>
        <v>8657</v>
      </c>
      <c r="J197" s="10">
        <f t="shared" si="195"/>
        <v>3065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 spans="1:23" x14ac:dyDescent="0.2">
      <c r="A198" s="7" t="s">
        <v>27</v>
      </c>
      <c r="B198" s="8">
        <v>2017</v>
      </c>
      <c r="C198" s="12">
        <v>0</v>
      </c>
      <c r="D198" s="12">
        <v>0</v>
      </c>
      <c r="E198" s="12">
        <v>1367</v>
      </c>
      <c r="F198" s="12">
        <v>600</v>
      </c>
      <c r="G198" s="10">
        <v>71652</v>
      </c>
      <c r="H198" s="10">
        <v>28714</v>
      </c>
      <c r="I198" s="10">
        <f t="shared" ref="I198:J198" si="196">SUM(C198, E198, G198)</f>
        <v>73019</v>
      </c>
      <c r="J198" s="10">
        <f t="shared" si="196"/>
        <v>29314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 spans="1:23" x14ac:dyDescent="0.2">
      <c r="A199" s="7" t="s">
        <v>29</v>
      </c>
      <c r="B199" s="8">
        <v>2017</v>
      </c>
      <c r="C199" s="12">
        <v>0</v>
      </c>
      <c r="D199" s="12">
        <v>0</v>
      </c>
      <c r="E199" s="12">
        <v>0</v>
      </c>
      <c r="F199" s="12">
        <v>0</v>
      </c>
      <c r="G199" s="10">
        <v>9173</v>
      </c>
      <c r="H199" s="10">
        <v>2804</v>
      </c>
      <c r="I199" s="10">
        <f t="shared" ref="I199:J199" si="197">SUM(C199, E199, G199)</f>
        <v>9173</v>
      </c>
      <c r="J199" s="10">
        <f t="shared" si="197"/>
        <v>2804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 spans="1:23" x14ac:dyDescent="0.2">
      <c r="A200" s="7" t="s">
        <v>25</v>
      </c>
      <c r="B200" s="8">
        <v>2017</v>
      </c>
      <c r="C200" s="9">
        <v>0</v>
      </c>
      <c r="D200" s="12">
        <v>0</v>
      </c>
      <c r="E200" s="12">
        <v>0</v>
      </c>
      <c r="F200" s="12">
        <v>0</v>
      </c>
      <c r="G200" s="10">
        <v>1548</v>
      </c>
      <c r="H200" s="10">
        <v>196</v>
      </c>
      <c r="I200" s="10">
        <f t="shared" ref="I200:J200" si="198">SUM(C200, E200, G200)</f>
        <v>1548</v>
      </c>
      <c r="J200" s="10">
        <f t="shared" si="198"/>
        <v>196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 spans="1:23" x14ac:dyDescent="0.2">
      <c r="A201" s="7" t="s">
        <v>28</v>
      </c>
      <c r="B201" s="8">
        <v>2017</v>
      </c>
      <c r="C201" s="9">
        <v>0</v>
      </c>
      <c r="D201" s="12">
        <v>0</v>
      </c>
      <c r="E201" s="12">
        <v>0</v>
      </c>
      <c r="F201" s="12">
        <v>0</v>
      </c>
      <c r="G201" s="10">
        <v>14628</v>
      </c>
      <c r="H201" s="10">
        <v>3107</v>
      </c>
      <c r="I201" s="10">
        <f t="shared" ref="I201:J201" si="199">SUM(C201, E201, G201)</f>
        <v>14628</v>
      </c>
      <c r="J201" s="10">
        <f t="shared" si="199"/>
        <v>3107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spans="1:23" x14ac:dyDescent="0.2">
      <c r="A202" s="7" t="s">
        <v>30</v>
      </c>
      <c r="B202" s="8">
        <v>2017</v>
      </c>
      <c r="C202" s="9">
        <v>0</v>
      </c>
      <c r="D202" s="12">
        <v>0</v>
      </c>
      <c r="E202" s="12">
        <v>0</v>
      </c>
      <c r="F202" s="9">
        <v>0</v>
      </c>
      <c r="G202" s="10">
        <v>1104</v>
      </c>
      <c r="H202" s="10">
        <v>430</v>
      </c>
      <c r="I202" s="10">
        <f t="shared" ref="I202:J202" si="200">SUM(C202, E202, G202)</f>
        <v>1104</v>
      </c>
      <c r="J202" s="10">
        <f t="shared" si="200"/>
        <v>430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 spans="1:23" x14ac:dyDescent="0.2">
      <c r="A203" s="7" t="s">
        <v>31</v>
      </c>
      <c r="B203" s="8">
        <v>2017</v>
      </c>
      <c r="C203" s="9">
        <v>0</v>
      </c>
      <c r="D203" s="9">
        <v>0</v>
      </c>
      <c r="E203" s="9">
        <v>0</v>
      </c>
      <c r="F203" s="9">
        <v>0</v>
      </c>
      <c r="G203" s="10">
        <v>1610</v>
      </c>
      <c r="H203" s="10">
        <v>87</v>
      </c>
      <c r="I203" s="10">
        <f t="shared" ref="I203:J203" si="201">SUM(C203, E203, G203)</f>
        <v>1610</v>
      </c>
      <c r="J203" s="10">
        <f t="shared" si="201"/>
        <v>87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spans="1:23" x14ac:dyDescent="0.2">
      <c r="A204" s="7" t="s">
        <v>33</v>
      </c>
      <c r="B204" s="8">
        <v>2017</v>
      </c>
      <c r="C204" s="12">
        <v>0</v>
      </c>
      <c r="D204" s="12">
        <v>0</v>
      </c>
      <c r="E204" s="12">
        <v>0</v>
      </c>
      <c r="F204" s="12">
        <v>0</v>
      </c>
      <c r="G204" s="10">
        <v>506</v>
      </c>
      <c r="H204" s="10">
        <v>112</v>
      </c>
      <c r="I204" s="10">
        <f t="shared" ref="I204:J204" si="202">SUM(C204, E204, G204)</f>
        <v>506</v>
      </c>
      <c r="J204" s="10">
        <f t="shared" si="202"/>
        <v>112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 spans="1:23" x14ac:dyDescent="0.2">
      <c r="A205" s="7" t="s">
        <v>32</v>
      </c>
      <c r="B205" s="8">
        <v>2017</v>
      </c>
      <c r="C205" s="12">
        <v>0</v>
      </c>
      <c r="D205" s="12">
        <v>0</v>
      </c>
      <c r="E205" s="12">
        <v>0</v>
      </c>
      <c r="F205" s="12">
        <v>0</v>
      </c>
      <c r="G205" s="10">
        <v>11227</v>
      </c>
      <c r="H205" s="10">
        <v>1991</v>
      </c>
      <c r="I205" s="10">
        <f t="shared" ref="I205:J205" si="203">SUM(C205, E205, G205)</f>
        <v>11227</v>
      </c>
      <c r="J205" s="10">
        <f t="shared" si="203"/>
        <v>1991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 spans="1:23" x14ac:dyDescent="0.2">
      <c r="A206" s="13" t="s">
        <v>2</v>
      </c>
      <c r="B206" s="14">
        <v>2016</v>
      </c>
      <c r="C206" s="18">
        <v>0</v>
      </c>
      <c r="D206" s="18">
        <v>0</v>
      </c>
      <c r="E206" s="18">
        <v>0</v>
      </c>
      <c r="F206" s="18">
        <v>0</v>
      </c>
      <c r="G206" s="16">
        <v>123443</v>
      </c>
      <c r="H206" s="16">
        <v>65231</v>
      </c>
      <c r="I206" s="10">
        <f t="shared" ref="I206:J206" si="204">SUM(C206, E206, G206)</f>
        <v>123443</v>
      </c>
      <c r="J206" s="10">
        <f t="shared" si="204"/>
        <v>65231</v>
      </c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 spans="1:23" x14ac:dyDescent="0.2">
      <c r="A207" s="7" t="s">
        <v>3</v>
      </c>
      <c r="B207" s="8">
        <v>2016</v>
      </c>
      <c r="C207" s="12">
        <v>0</v>
      </c>
      <c r="D207" s="12">
        <v>0</v>
      </c>
      <c r="E207" s="12">
        <v>806</v>
      </c>
      <c r="F207" s="12">
        <v>783</v>
      </c>
      <c r="G207" s="10">
        <v>84606</v>
      </c>
      <c r="H207" s="10">
        <v>65143</v>
      </c>
      <c r="I207" s="10">
        <f t="shared" ref="I207:J207" si="205">SUM(C207, E207, G207)</f>
        <v>85412</v>
      </c>
      <c r="J207" s="10">
        <f t="shared" si="205"/>
        <v>65926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 spans="1:23" x14ac:dyDescent="0.2">
      <c r="A208" s="7" t="s">
        <v>4</v>
      </c>
      <c r="B208" s="8">
        <v>2016</v>
      </c>
      <c r="C208" s="12">
        <v>0</v>
      </c>
      <c r="D208" s="12">
        <v>0</v>
      </c>
      <c r="E208" s="12">
        <v>903</v>
      </c>
      <c r="F208" s="12">
        <v>480</v>
      </c>
      <c r="G208" s="10">
        <v>37462</v>
      </c>
      <c r="H208" s="10">
        <v>22291</v>
      </c>
      <c r="I208" s="10">
        <f t="shared" ref="I208:J208" si="206">SUM(C208, E208, G208)</f>
        <v>38365</v>
      </c>
      <c r="J208" s="10">
        <f t="shared" si="206"/>
        <v>22771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spans="1:23" x14ac:dyDescent="0.2">
      <c r="A209" s="7" t="s">
        <v>5</v>
      </c>
      <c r="B209" s="8">
        <v>2016</v>
      </c>
      <c r="C209" s="12">
        <v>0</v>
      </c>
      <c r="D209" s="12">
        <v>0</v>
      </c>
      <c r="E209" s="12">
        <v>0</v>
      </c>
      <c r="F209" s="12">
        <v>0</v>
      </c>
      <c r="G209" s="12">
        <v>4510</v>
      </c>
      <c r="H209" s="12">
        <v>2782</v>
      </c>
      <c r="I209" s="10">
        <f t="shared" ref="I209:J209" si="207">SUM(C209, E209, G209)</f>
        <v>4510</v>
      </c>
      <c r="J209" s="10">
        <f t="shared" si="207"/>
        <v>2782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spans="1:23" x14ac:dyDescent="0.2">
      <c r="A210" s="7" t="s">
        <v>7</v>
      </c>
      <c r="B210" s="8">
        <v>2016</v>
      </c>
      <c r="C210" s="12">
        <v>1000</v>
      </c>
      <c r="D210" s="12">
        <v>0</v>
      </c>
      <c r="E210" s="12">
        <v>0</v>
      </c>
      <c r="F210" s="12">
        <v>0</v>
      </c>
      <c r="G210" s="10">
        <v>25847</v>
      </c>
      <c r="H210" s="10">
        <v>13395</v>
      </c>
      <c r="I210" s="10">
        <f t="shared" ref="I210:J210" si="208">SUM(C210, E210, G210)</f>
        <v>26847</v>
      </c>
      <c r="J210" s="10">
        <f t="shared" si="208"/>
        <v>13395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spans="1:23" x14ac:dyDescent="0.2">
      <c r="A211" s="7" t="s">
        <v>8</v>
      </c>
      <c r="B211" s="8">
        <v>2016</v>
      </c>
      <c r="C211" s="12">
        <v>0</v>
      </c>
      <c r="D211" s="12">
        <v>0</v>
      </c>
      <c r="E211" s="12">
        <v>0</v>
      </c>
      <c r="F211" s="12">
        <v>0</v>
      </c>
      <c r="G211" s="10">
        <v>263108</v>
      </c>
      <c r="H211" s="10">
        <v>120904</v>
      </c>
      <c r="I211" s="10">
        <f t="shared" ref="I211:J211" si="209">SUM(C211, E211, G211)</f>
        <v>263108</v>
      </c>
      <c r="J211" s="10">
        <f t="shared" si="209"/>
        <v>120904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spans="1:23" x14ac:dyDescent="0.2">
      <c r="A212" s="7" t="s">
        <v>9</v>
      </c>
      <c r="B212" s="8">
        <v>2016</v>
      </c>
      <c r="C212" s="12">
        <v>0</v>
      </c>
      <c r="D212" s="12">
        <v>0</v>
      </c>
      <c r="E212" s="12">
        <v>405</v>
      </c>
      <c r="F212" s="12">
        <v>140</v>
      </c>
      <c r="G212" s="10">
        <v>90480</v>
      </c>
      <c r="H212" s="10">
        <v>56828</v>
      </c>
      <c r="I212" s="10">
        <f t="shared" ref="I212:J212" si="210">SUM(C212, E212, G212)</f>
        <v>90885</v>
      </c>
      <c r="J212" s="10">
        <f t="shared" si="210"/>
        <v>56968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spans="1:23" x14ac:dyDescent="0.2">
      <c r="A213" s="7" t="s">
        <v>10</v>
      </c>
      <c r="B213" s="8">
        <v>2016</v>
      </c>
      <c r="C213" s="12">
        <v>0</v>
      </c>
      <c r="D213" s="12">
        <v>0</v>
      </c>
      <c r="E213" s="12">
        <v>0</v>
      </c>
      <c r="F213" s="12">
        <v>0</v>
      </c>
      <c r="G213" s="10">
        <v>160953</v>
      </c>
      <c r="H213" s="10">
        <v>115524</v>
      </c>
      <c r="I213" s="10">
        <f t="shared" ref="I213:J213" si="211">SUM(C213, E213, G213)</f>
        <v>160953</v>
      </c>
      <c r="J213" s="10">
        <f t="shared" si="211"/>
        <v>115524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spans="1:23" x14ac:dyDescent="0.2">
      <c r="A214" s="7" t="s">
        <v>42</v>
      </c>
      <c r="B214" s="8">
        <v>2016</v>
      </c>
      <c r="C214" s="12">
        <v>0</v>
      </c>
      <c r="D214" s="12">
        <v>0</v>
      </c>
      <c r="E214" s="12">
        <v>0</v>
      </c>
      <c r="F214" s="12">
        <v>0</v>
      </c>
      <c r="G214" s="10">
        <v>25</v>
      </c>
      <c r="H214" s="10">
        <v>3</v>
      </c>
      <c r="I214" s="10">
        <f t="shared" ref="I214:J214" si="212">SUM(C214, E214, G214)</f>
        <v>25</v>
      </c>
      <c r="J214" s="10">
        <f t="shared" si="212"/>
        <v>3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spans="1:23" x14ac:dyDescent="0.2">
      <c r="A215" s="7" t="s">
        <v>6</v>
      </c>
      <c r="B215" s="8">
        <v>2016</v>
      </c>
      <c r="C215" s="9">
        <v>0</v>
      </c>
      <c r="D215" s="12">
        <v>0</v>
      </c>
      <c r="E215" s="12">
        <v>0</v>
      </c>
      <c r="F215" s="12">
        <v>0</v>
      </c>
      <c r="G215" s="10">
        <v>2</v>
      </c>
      <c r="H215" s="9">
        <v>0</v>
      </c>
      <c r="I215" s="10">
        <f t="shared" ref="I215:J215" si="213">SUM(C215, E215, G215)</f>
        <v>2</v>
      </c>
      <c r="J215" s="10">
        <f t="shared" si="213"/>
        <v>0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spans="1:23" x14ac:dyDescent="0.2">
      <c r="A216" s="7" t="s">
        <v>11</v>
      </c>
      <c r="B216" s="8">
        <v>2016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10">
        <f t="shared" ref="I216:J216" si="214">SUM(C216, E216, G216)</f>
        <v>0</v>
      </c>
      <c r="J216" s="10">
        <f t="shared" si="214"/>
        <v>0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spans="1:23" x14ac:dyDescent="0.2">
      <c r="A217" s="7" t="s">
        <v>12</v>
      </c>
      <c r="B217" s="8">
        <v>2016</v>
      </c>
      <c r="C217" s="12">
        <v>0</v>
      </c>
      <c r="D217" s="12">
        <v>0</v>
      </c>
      <c r="E217" s="12">
        <v>259</v>
      </c>
      <c r="F217" s="12">
        <v>61</v>
      </c>
      <c r="G217" s="10">
        <v>33630</v>
      </c>
      <c r="H217" s="10">
        <v>17628</v>
      </c>
      <c r="I217" s="10">
        <f t="shared" ref="I217:J217" si="215">SUM(C217, E217, G217)</f>
        <v>33889</v>
      </c>
      <c r="J217" s="10">
        <f t="shared" si="215"/>
        <v>17689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spans="1:23" x14ac:dyDescent="0.2">
      <c r="A218" s="7" t="s">
        <v>14</v>
      </c>
      <c r="B218" s="8">
        <v>2016</v>
      </c>
      <c r="C218" s="10">
        <v>1163</v>
      </c>
      <c r="D218" s="10">
        <v>535</v>
      </c>
      <c r="E218" s="10">
        <v>556</v>
      </c>
      <c r="F218" s="10">
        <v>1565</v>
      </c>
      <c r="G218" s="10">
        <v>38697</v>
      </c>
      <c r="H218" s="10">
        <v>16811</v>
      </c>
      <c r="I218" s="10">
        <f t="shared" ref="I218:J218" si="216">SUM(C218, E218, G218)</f>
        <v>40416</v>
      </c>
      <c r="J218" s="10">
        <f t="shared" si="216"/>
        <v>18911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spans="1:23" x14ac:dyDescent="0.2">
      <c r="A219" s="7" t="s">
        <v>44</v>
      </c>
      <c r="B219" s="8">
        <v>2016</v>
      </c>
      <c r="C219" s="9">
        <v>0</v>
      </c>
      <c r="D219" s="9">
        <v>0</v>
      </c>
      <c r="E219" s="9">
        <v>0</v>
      </c>
      <c r="F219" s="9">
        <v>0</v>
      </c>
      <c r="G219" s="10">
        <v>1703</v>
      </c>
      <c r="H219" s="10">
        <v>465</v>
      </c>
      <c r="I219" s="10">
        <f t="shared" ref="I219:J219" si="217">SUM(C219, E219, G219)</f>
        <v>1703</v>
      </c>
      <c r="J219" s="10">
        <f t="shared" si="217"/>
        <v>465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spans="1:23" x14ac:dyDescent="0.2">
      <c r="A220" s="7" t="s">
        <v>15</v>
      </c>
      <c r="B220" s="8">
        <v>2016</v>
      </c>
      <c r="C220" s="10">
        <v>21203</v>
      </c>
      <c r="D220" s="10">
        <v>14093</v>
      </c>
      <c r="E220" s="10">
        <v>19366</v>
      </c>
      <c r="F220" s="10">
        <v>13132</v>
      </c>
      <c r="G220" s="10">
        <v>64651</v>
      </c>
      <c r="H220" s="10">
        <v>36380</v>
      </c>
      <c r="I220" s="10">
        <f t="shared" ref="I220:J220" si="218">SUM(C220, E220, G220)</f>
        <v>105220</v>
      </c>
      <c r="J220" s="10">
        <f t="shared" si="218"/>
        <v>63605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spans="1:23" x14ac:dyDescent="0.2">
      <c r="A221" s="7" t="s">
        <v>13</v>
      </c>
      <c r="B221" s="8">
        <v>2016</v>
      </c>
      <c r="C221" s="12">
        <v>0</v>
      </c>
      <c r="D221" s="12">
        <v>0</v>
      </c>
      <c r="E221" s="12">
        <v>0</v>
      </c>
      <c r="F221" s="12">
        <v>0</v>
      </c>
      <c r="G221" s="10">
        <v>6146</v>
      </c>
      <c r="H221" s="10">
        <v>1770</v>
      </c>
      <c r="I221" s="10">
        <f t="shared" ref="I221:J221" si="219">SUM(C221, E221, G221)</f>
        <v>6146</v>
      </c>
      <c r="J221" s="10">
        <f t="shared" si="219"/>
        <v>1770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 spans="1:23" x14ac:dyDescent="0.2">
      <c r="A222" s="7" t="s">
        <v>16</v>
      </c>
      <c r="B222" s="8">
        <v>2016</v>
      </c>
      <c r="C222" s="9">
        <v>0</v>
      </c>
      <c r="D222" s="9">
        <v>0</v>
      </c>
      <c r="E222" s="10">
        <v>24</v>
      </c>
      <c r="F222" s="10">
        <v>4</v>
      </c>
      <c r="G222" s="10">
        <v>35491</v>
      </c>
      <c r="H222" s="10">
        <v>17162</v>
      </c>
      <c r="I222" s="10">
        <f t="shared" ref="I222:J222" si="220">SUM(C222, E222, G222)</f>
        <v>35515</v>
      </c>
      <c r="J222" s="10">
        <f t="shared" si="220"/>
        <v>17166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 spans="1:23" x14ac:dyDescent="0.2">
      <c r="A223" s="7" t="s">
        <v>17</v>
      </c>
      <c r="B223" s="8">
        <v>2016</v>
      </c>
      <c r="C223" s="9">
        <v>0</v>
      </c>
      <c r="D223" s="9">
        <v>0</v>
      </c>
      <c r="E223" s="9">
        <v>0</v>
      </c>
      <c r="F223" s="9">
        <v>0</v>
      </c>
      <c r="G223" s="10">
        <v>12256</v>
      </c>
      <c r="H223" s="10">
        <v>4641</v>
      </c>
      <c r="I223" s="10">
        <f t="shared" ref="I223:J223" si="221">SUM(C223, E223, G223)</f>
        <v>12256</v>
      </c>
      <c r="J223" s="10">
        <f t="shared" si="221"/>
        <v>4641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 spans="1:23" x14ac:dyDescent="0.2">
      <c r="A224" s="7" t="s">
        <v>18</v>
      </c>
      <c r="B224" s="8">
        <v>2016</v>
      </c>
      <c r="C224" s="9">
        <v>0</v>
      </c>
      <c r="D224" s="9">
        <v>0</v>
      </c>
      <c r="E224" s="10">
        <v>202</v>
      </c>
      <c r="F224" s="10">
        <v>107</v>
      </c>
      <c r="G224" s="10">
        <v>66370</v>
      </c>
      <c r="H224" s="10">
        <v>22228</v>
      </c>
      <c r="I224" s="10">
        <f t="shared" ref="I224:J224" si="222">SUM(C224, E224, G224)</f>
        <v>66572</v>
      </c>
      <c r="J224" s="10">
        <f t="shared" si="222"/>
        <v>22335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 spans="1:23" x14ac:dyDescent="0.2">
      <c r="A225" s="7" t="s">
        <v>19</v>
      </c>
      <c r="B225" s="8">
        <v>2016</v>
      </c>
      <c r="C225" s="12">
        <v>0</v>
      </c>
      <c r="D225" s="12">
        <v>0</v>
      </c>
      <c r="E225" s="12">
        <v>0</v>
      </c>
      <c r="F225" s="12">
        <v>0</v>
      </c>
      <c r="G225" s="10">
        <v>11593</v>
      </c>
      <c r="H225" s="10">
        <v>3736</v>
      </c>
      <c r="I225" s="10">
        <f t="shared" ref="I225:J225" si="223">SUM(C225, E225, G225)</f>
        <v>11593</v>
      </c>
      <c r="J225" s="10">
        <f t="shared" si="223"/>
        <v>3736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 spans="1:23" x14ac:dyDescent="0.2">
      <c r="A226" s="7" t="s">
        <v>20</v>
      </c>
      <c r="B226" s="8">
        <v>2016</v>
      </c>
      <c r="C226" s="9">
        <v>0</v>
      </c>
      <c r="D226" s="12">
        <v>0</v>
      </c>
      <c r="E226" s="12">
        <v>0</v>
      </c>
      <c r="F226" s="12">
        <v>0</v>
      </c>
      <c r="G226" s="10">
        <v>1574</v>
      </c>
      <c r="H226" s="10">
        <v>472</v>
      </c>
      <c r="I226" s="10">
        <f t="shared" ref="I226:J226" si="224">SUM(C226, E226, G226)</f>
        <v>1574</v>
      </c>
      <c r="J226" s="10">
        <f t="shared" si="224"/>
        <v>472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 spans="1:23" x14ac:dyDescent="0.2">
      <c r="A227" s="7" t="s">
        <v>21</v>
      </c>
      <c r="B227" s="8">
        <v>2016</v>
      </c>
      <c r="C227" s="12">
        <v>0</v>
      </c>
      <c r="D227" s="12">
        <v>0</v>
      </c>
      <c r="E227" s="12">
        <v>0</v>
      </c>
      <c r="F227" s="12">
        <v>0</v>
      </c>
      <c r="G227" s="10">
        <v>3714</v>
      </c>
      <c r="H227" s="10">
        <v>1929</v>
      </c>
      <c r="I227" s="10">
        <f t="shared" ref="I227:J227" si="225">SUM(C227, E227, G227)</f>
        <v>3714</v>
      </c>
      <c r="J227" s="10">
        <f t="shared" si="225"/>
        <v>1929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spans="1:23" x14ac:dyDescent="0.2">
      <c r="A228" s="7" t="s">
        <v>22</v>
      </c>
      <c r="B228" s="8">
        <v>2016</v>
      </c>
      <c r="C228" s="12">
        <v>0</v>
      </c>
      <c r="D228" s="12">
        <v>0</v>
      </c>
      <c r="E228" s="12">
        <v>0</v>
      </c>
      <c r="F228" s="12">
        <v>0</v>
      </c>
      <c r="G228" s="10">
        <v>3049</v>
      </c>
      <c r="H228" s="10">
        <v>392</v>
      </c>
      <c r="I228" s="10">
        <f t="shared" ref="I228:J228" si="226">SUM(C228, E228, G228)</f>
        <v>3049</v>
      </c>
      <c r="J228" s="10">
        <f t="shared" si="226"/>
        <v>392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 spans="1:23" x14ac:dyDescent="0.2">
      <c r="A229" s="7" t="s">
        <v>23</v>
      </c>
      <c r="B229" s="8">
        <v>2016</v>
      </c>
      <c r="C229" s="9">
        <v>0</v>
      </c>
      <c r="D229" s="12">
        <v>0</v>
      </c>
      <c r="E229" s="12">
        <v>0</v>
      </c>
      <c r="F229" s="12">
        <v>0</v>
      </c>
      <c r="G229" s="10">
        <v>1739</v>
      </c>
      <c r="H229" s="10">
        <v>276</v>
      </c>
      <c r="I229" s="10">
        <f t="shared" ref="I229:J229" si="227">SUM(C229, E229, G229)</f>
        <v>1739</v>
      </c>
      <c r="J229" s="10">
        <f t="shared" si="227"/>
        <v>276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 spans="1:23" x14ac:dyDescent="0.2">
      <c r="A230" s="7" t="s">
        <v>24</v>
      </c>
      <c r="B230" s="8">
        <v>2016</v>
      </c>
      <c r="C230" s="9">
        <v>0</v>
      </c>
      <c r="D230" s="9">
        <v>0</v>
      </c>
      <c r="E230" s="9">
        <v>0</v>
      </c>
      <c r="F230" s="9">
        <v>0</v>
      </c>
      <c r="G230" s="10">
        <v>7655</v>
      </c>
      <c r="H230" s="10">
        <v>3291</v>
      </c>
      <c r="I230" s="10">
        <f t="shared" ref="I230:J230" si="228">SUM(C230, E230, G230)</f>
        <v>7655</v>
      </c>
      <c r="J230" s="10">
        <f t="shared" si="228"/>
        <v>3291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 spans="1:23" x14ac:dyDescent="0.2">
      <c r="A231" s="7" t="s">
        <v>26</v>
      </c>
      <c r="B231" s="8">
        <v>2016</v>
      </c>
      <c r="C231" s="12">
        <v>0</v>
      </c>
      <c r="D231" s="12">
        <v>0</v>
      </c>
      <c r="E231" s="12">
        <v>0</v>
      </c>
      <c r="F231" s="12">
        <v>0</v>
      </c>
      <c r="G231" s="10">
        <v>8643</v>
      </c>
      <c r="H231" s="10">
        <v>2927</v>
      </c>
      <c r="I231" s="10">
        <f t="shared" ref="I231:J231" si="229">SUM(C231, E231, G231)</f>
        <v>8643</v>
      </c>
      <c r="J231" s="10">
        <f t="shared" si="229"/>
        <v>2927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 spans="1:23" x14ac:dyDescent="0.2">
      <c r="A232" s="7" t="s">
        <v>27</v>
      </c>
      <c r="B232" s="8">
        <v>2016</v>
      </c>
      <c r="C232" s="12">
        <v>0</v>
      </c>
      <c r="D232" s="12">
        <v>0</v>
      </c>
      <c r="E232" s="12">
        <v>1869</v>
      </c>
      <c r="F232" s="12">
        <v>1009</v>
      </c>
      <c r="G232" s="10">
        <v>71560</v>
      </c>
      <c r="H232" s="10">
        <v>30891</v>
      </c>
      <c r="I232" s="10">
        <f t="shared" ref="I232:J232" si="230">SUM(C232, E232, G232)</f>
        <v>73429</v>
      </c>
      <c r="J232" s="10">
        <f t="shared" si="230"/>
        <v>31900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 spans="1:23" x14ac:dyDescent="0.2">
      <c r="A233" s="7" t="s">
        <v>29</v>
      </c>
      <c r="B233" s="8">
        <v>2016</v>
      </c>
      <c r="C233" s="12">
        <v>0</v>
      </c>
      <c r="D233" s="12">
        <v>0</v>
      </c>
      <c r="E233" s="12">
        <v>0</v>
      </c>
      <c r="F233" s="12">
        <v>0</v>
      </c>
      <c r="G233" s="10">
        <v>9180</v>
      </c>
      <c r="H233" s="10">
        <v>2677</v>
      </c>
      <c r="I233" s="10">
        <f t="shared" ref="I233:J233" si="231">SUM(C233, E233, G233)</f>
        <v>9180</v>
      </c>
      <c r="J233" s="10">
        <f t="shared" si="231"/>
        <v>2677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 spans="1:23" x14ac:dyDescent="0.2">
      <c r="A234" s="7" t="s">
        <v>25</v>
      </c>
      <c r="B234" s="8">
        <v>2016</v>
      </c>
      <c r="C234" s="9">
        <v>0</v>
      </c>
      <c r="D234" s="12">
        <v>0</v>
      </c>
      <c r="E234" s="12">
        <v>0</v>
      </c>
      <c r="F234" s="12">
        <v>0</v>
      </c>
      <c r="G234" s="10">
        <v>1538</v>
      </c>
      <c r="H234" s="10">
        <v>182</v>
      </c>
      <c r="I234" s="10">
        <f t="shared" ref="I234:J234" si="232">SUM(C234, E234, G234)</f>
        <v>1538</v>
      </c>
      <c r="J234" s="10">
        <f t="shared" si="232"/>
        <v>182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 spans="1:23" x14ac:dyDescent="0.2">
      <c r="A235" s="7" t="s">
        <v>28</v>
      </c>
      <c r="B235" s="8">
        <v>2016</v>
      </c>
      <c r="C235" s="9">
        <v>0</v>
      </c>
      <c r="D235" s="12">
        <v>0</v>
      </c>
      <c r="E235" s="12">
        <v>0</v>
      </c>
      <c r="F235" s="12">
        <v>0</v>
      </c>
      <c r="G235" s="10">
        <v>14628</v>
      </c>
      <c r="H235" s="10">
        <v>3152</v>
      </c>
      <c r="I235" s="10">
        <f t="shared" ref="I235:J235" si="233">SUM(C235, E235, G235)</f>
        <v>14628</v>
      </c>
      <c r="J235" s="10">
        <f t="shared" si="233"/>
        <v>3152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 spans="1:23" x14ac:dyDescent="0.2">
      <c r="A236" s="7" t="s">
        <v>30</v>
      </c>
      <c r="B236" s="8">
        <v>2016</v>
      </c>
      <c r="C236" s="9">
        <v>0</v>
      </c>
      <c r="D236" s="12">
        <v>0</v>
      </c>
      <c r="E236" s="12">
        <v>0</v>
      </c>
      <c r="F236" s="9">
        <v>0</v>
      </c>
      <c r="G236" s="10">
        <v>1266</v>
      </c>
      <c r="H236" s="10">
        <v>411</v>
      </c>
      <c r="I236" s="10">
        <f t="shared" ref="I236:J236" si="234">SUM(C236, E236, G236)</f>
        <v>1266</v>
      </c>
      <c r="J236" s="10">
        <f t="shared" si="234"/>
        <v>411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 spans="1:23" x14ac:dyDescent="0.2">
      <c r="A237" s="7" t="s">
        <v>31</v>
      </c>
      <c r="B237" s="8">
        <v>2016</v>
      </c>
      <c r="C237" s="9">
        <v>0</v>
      </c>
      <c r="D237" s="9">
        <v>0</v>
      </c>
      <c r="E237" s="9">
        <v>0</v>
      </c>
      <c r="F237" s="9">
        <v>0</v>
      </c>
      <c r="G237" s="10">
        <v>1717</v>
      </c>
      <c r="H237" s="10">
        <v>83</v>
      </c>
      <c r="I237" s="10">
        <f t="shared" ref="I237:J237" si="235">SUM(C237, E237, G237)</f>
        <v>1717</v>
      </c>
      <c r="J237" s="10">
        <f t="shared" si="235"/>
        <v>83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 spans="1:23" x14ac:dyDescent="0.2">
      <c r="A238" s="7" t="s">
        <v>33</v>
      </c>
      <c r="B238" s="8">
        <v>2016</v>
      </c>
      <c r="C238" s="12">
        <v>0</v>
      </c>
      <c r="D238" s="12">
        <v>0</v>
      </c>
      <c r="E238" s="12">
        <v>0</v>
      </c>
      <c r="F238" s="12">
        <v>0</v>
      </c>
      <c r="G238" s="10">
        <v>504</v>
      </c>
      <c r="H238" s="10">
        <v>128</v>
      </c>
      <c r="I238" s="10">
        <f t="shared" ref="I238:J238" si="236">SUM(C238, E238, G238)</f>
        <v>504</v>
      </c>
      <c r="J238" s="10">
        <f t="shared" si="236"/>
        <v>128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 spans="1:23" x14ac:dyDescent="0.2">
      <c r="A239" s="7" t="s">
        <v>32</v>
      </c>
      <c r="B239" s="8">
        <v>2016</v>
      </c>
      <c r="C239" s="12">
        <v>0</v>
      </c>
      <c r="D239" s="12">
        <v>0</v>
      </c>
      <c r="E239" s="12">
        <v>0</v>
      </c>
      <c r="F239" s="12">
        <v>0</v>
      </c>
      <c r="G239" s="10">
        <v>11161</v>
      </c>
      <c r="H239" s="10">
        <v>2271</v>
      </c>
      <c r="I239" s="10">
        <f t="shared" ref="I239:J239" si="237">SUM(C239, E239, G239)</f>
        <v>11161</v>
      </c>
      <c r="J239" s="10">
        <f t="shared" si="237"/>
        <v>2271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 spans="1:23" x14ac:dyDescent="0.2">
      <c r="A240" s="21"/>
      <c r="B240" s="8"/>
      <c r="C240" s="21"/>
      <c r="D240" s="21"/>
      <c r="E240" s="21"/>
      <c r="F240" s="21"/>
      <c r="G240" s="21"/>
      <c r="H240" s="21"/>
      <c r="I240" s="21"/>
      <c r="J240" s="21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</row>
    <row r="241" spans="1:23" x14ac:dyDescent="0.2">
      <c r="A241" s="21"/>
      <c r="B241" s="8"/>
      <c r="C241" s="21"/>
      <c r="D241" s="21"/>
      <c r="E241" s="21"/>
      <c r="F241" s="21"/>
      <c r="G241" s="21"/>
      <c r="H241" s="21"/>
      <c r="I241" s="21"/>
      <c r="J241" s="21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</row>
    <row r="242" spans="1:23" x14ac:dyDescent="0.2">
      <c r="A242" s="21"/>
      <c r="B242" s="8"/>
      <c r="C242" s="21"/>
      <c r="D242" s="21"/>
      <c r="E242" s="21"/>
      <c r="F242" s="21"/>
      <c r="G242" s="21"/>
      <c r="H242" s="21"/>
      <c r="I242" s="21"/>
      <c r="J242" s="21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</row>
    <row r="243" spans="1:23" x14ac:dyDescent="0.2">
      <c r="A243" s="21"/>
      <c r="B243" s="8"/>
      <c r="C243" s="21"/>
      <c r="D243" s="21"/>
      <c r="E243" s="21"/>
      <c r="F243" s="21"/>
      <c r="G243" s="21"/>
      <c r="H243" s="21"/>
      <c r="I243" s="21"/>
      <c r="J243" s="21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</row>
    <row r="244" spans="1:23" x14ac:dyDescent="0.2">
      <c r="A244" s="23"/>
      <c r="B244" s="8"/>
      <c r="C244" s="11"/>
      <c r="D244" s="11"/>
      <c r="E244" s="11"/>
      <c r="F244" s="11"/>
      <c r="G244" s="11"/>
      <c r="H244" s="11"/>
      <c r="I244" s="24"/>
      <c r="J244" s="24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</row>
    <row r="245" spans="1:23" x14ac:dyDescent="0.2">
      <c r="A245" s="23"/>
      <c r="B245" s="8"/>
      <c r="C245" s="11"/>
      <c r="D245" s="11"/>
      <c r="E245" s="11"/>
      <c r="F245" s="11"/>
      <c r="G245" s="11"/>
      <c r="H245" s="11"/>
      <c r="I245" s="24"/>
      <c r="J245" s="24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</row>
    <row r="246" spans="1:23" x14ac:dyDescent="0.2">
      <c r="A246" s="23"/>
      <c r="B246" s="8"/>
      <c r="C246" s="11"/>
      <c r="D246" s="11"/>
      <c r="E246" s="11"/>
      <c r="F246" s="11"/>
      <c r="G246" s="11"/>
      <c r="H246" s="11"/>
      <c r="I246" s="24"/>
      <c r="J246" s="24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</row>
    <row r="247" spans="1:23" x14ac:dyDescent="0.2">
      <c r="A247" s="23"/>
      <c r="B247" s="8"/>
      <c r="C247" s="11"/>
      <c r="D247" s="11"/>
      <c r="E247" s="11"/>
      <c r="F247" s="11"/>
      <c r="G247" s="11"/>
      <c r="H247" s="11"/>
      <c r="I247" s="24"/>
      <c r="J247" s="24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</row>
    <row r="248" spans="1:23" x14ac:dyDescent="0.2">
      <c r="A248" s="23"/>
      <c r="B248" s="8"/>
      <c r="C248" s="11"/>
      <c r="D248" s="11"/>
      <c r="E248" s="11"/>
      <c r="F248" s="11"/>
      <c r="G248" s="11"/>
      <c r="H248" s="11"/>
      <c r="I248" s="24"/>
      <c r="J248" s="24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</row>
    <row r="249" spans="1:23" x14ac:dyDescent="0.2">
      <c r="A249" s="23"/>
      <c r="B249" s="8"/>
      <c r="C249" s="11"/>
      <c r="D249" s="11"/>
      <c r="E249" s="11"/>
      <c r="F249" s="11"/>
      <c r="G249" s="11"/>
      <c r="H249" s="11"/>
      <c r="I249" s="24"/>
      <c r="J249" s="24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</row>
    <row r="250" spans="1:23" x14ac:dyDescent="0.2">
      <c r="A250" s="23"/>
      <c r="B250" s="8"/>
      <c r="C250" s="11"/>
      <c r="D250" s="11"/>
      <c r="E250" s="11"/>
      <c r="F250" s="11"/>
      <c r="G250" s="11"/>
      <c r="H250" s="11"/>
      <c r="I250" s="24"/>
      <c r="J250" s="24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</row>
    <row r="251" spans="1:23" x14ac:dyDescent="0.2">
      <c r="A251" s="23"/>
      <c r="B251" s="8"/>
      <c r="C251" s="11"/>
      <c r="D251" s="11"/>
      <c r="E251" s="11"/>
      <c r="F251" s="11"/>
      <c r="G251" s="11"/>
      <c r="H251" s="11"/>
      <c r="I251" s="24"/>
      <c r="J251" s="24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</row>
    <row r="252" spans="1:23" x14ac:dyDescent="0.2">
      <c r="A252" s="23"/>
      <c r="B252" s="8"/>
      <c r="C252" s="11"/>
      <c r="D252" s="11"/>
      <c r="E252" s="11"/>
      <c r="F252" s="11"/>
      <c r="G252" s="11"/>
      <c r="H252" s="11"/>
      <c r="I252" s="24"/>
      <c r="J252" s="24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</row>
    <row r="253" spans="1:23" x14ac:dyDescent="0.2">
      <c r="A253" s="23"/>
      <c r="B253" s="8"/>
      <c r="C253" s="11"/>
      <c r="D253" s="11"/>
      <c r="E253" s="11"/>
      <c r="F253" s="11"/>
      <c r="G253" s="11"/>
      <c r="H253" s="11"/>
      <c r="I253" s="24"/>
      <c r="J253" s="24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</row>
    <row r="254" spans="1:23" x14ac:dyDescent="0.2">
      <c r="A254" s="23"/>
      <c r="B254" s="8"/>
      <c r="C254" s="11"/>
      <c r="D254" s="11"/>
      <c r="E254" s="11"/>
      <c r="F254" s="11"/>
      <c r="G254" s="11"/>
      <c r="H254" s="11"/>
      <c r="I254" s="24"/>
      <c r="J254" s="24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</row>
    <row r="255" spans="1:23" x14ac:dyDescent="0.2">
      <c r="A255" s="23"/>
      <c r="B255" s="8"/>
      <c r="C255" s="11"/>
      <c r="D255" s="11"/>
      <c r="E255" s="11"/>
      <c r="F255" s="11"/>
      <c r="G255" s="11"/>
      <c r="H255" s="11"/>
      <c r="I255" s="24"/>
      <c r="J255" s="24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</row>
    <row r="256" spans="1:23" x14ac:dyDescent="0.2">
      <c r="A256" s="23"/>
      <c r="B256" s="8"/>
      <c r="C256" s="11"/>
      <c r="D256" s="11"/>
      <c r="E256" s="11"/>
      <c r="F256" s="11"/>
      <c r="G256" s="11"/>
      <c r="H256" s="11"/>
      <c r="I256" s="24"/>
      <c r="J256" s="24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</row>
    <row r="257" spans="1:23" x14ac:dyDescent="0.2">
      <c r="A257" s="23"/>
      <c r="B257" s="8"/>
      <c r="C257" s="11"/>
      <c r="D257" s="11"/>
      <c r="E257" s="11"/>
      <c r="F257" s="11"/>
      <c r="G257" s="11"/>
      <c r="H257" s="11"/>
      <c r="I257" s="24"/>
      <c r="J257" s="24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</row>
    <row r="258" spans="1:23" x14ac:dyDescent="0.2">
      <c r="A258" s="23"/>
      <c r="B258" s="8"/>
      <c r="C258" s="11"/>
      <c r="D258" s="11"/>
      <c r="E258" s="11"/>
      <c r="F258" s="11"/>
      <c r="G258" s="11"/>
      <c r="H258" s="11"/>
      <c r="I258" s="24"/>
      <c r="J258" s="24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</row>
    <row r="259" spans="1:23" x14ac:dyDescent="0.2">
      <c r="A259" s="23"/>
      <c r="B259" s="8"/>
      <c r="C259" s="11"/>
      <c r="D259" s="11"/>
      <c r="E259" s="11"/>
      <c r="F259" s="11"/>
      <c r="G259" s="11"/>
      <c r="H259" s="11"/>
      <c r="I259" s="24"/>
      <c r="J259" s="24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</row>
    <row r="260" spans="1:23" x14ac:dyDescent="0.2">
      <c r="A260" s="23"/>
      <c r="B260" s="8"/>
      <c r="C260" s="11"/>
      <c r="D260" s="11"/>
      <c r="E260" s="11"/>
      <c r="F260" s="11"/>
      <c r="G260" s="11"/>
      <c r="H260" s="11"/>
      <c r="I260" s="24"/>
      <c r="J260" s="24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</row>
    <row r="261" spans="1:23" x14ac:dyDescent="0.2">
      <c r="A261" s="23"/>
      <c r="B261" s="8"/>
      <c r="C261" s="11"/>
      <c r="D261" s="11"/>
      <c r="E261" s="11"/>
      <c r="F261" s="11"/>
      <c r="G261" s="11"/>
      <c r="H261" s="11"/>
      <c r="I261" s="24"/>
      <c r="J261" s="24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</row>
    <row r="262" spans="1:23" x14ac:dyDescent="0.2">
      <c r="A262" s="23"/>
      <c r="B262" s="8"/>
      <c r="C262" s="11"/>
      <c r="D262" s="11"/>
      <c r="E262" s="11"/>
      <c r="F262" s="11"/>
      <c r="G262" s="11"/>
      <c r="H262" s="11"/>
      <c r="I262" s="24"/>
      <c r="J262" s="24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</row>
    <row r="263" spans="1:23" x14ac:dyDescent="0.2">
      <c r="A263" s="23"/>
      <c r="B263" s="8"/>
      <c r="C263" s="11"/>
      <c r="D263" s="11"/>
      <c r="E263" s="11"/>
      <c r="F263" s="11"/>
      <c r="G263" s="11"/>
      <c r="H263" s="11"/>
      <c r="I263" s="24"/>
      <c r="J263" s="24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</row>
    <row r="264" spans="1:23" x14ac:dyDescent="0.2">
      <c r="A264" s="23"/>
      <c r="B264" s="8"/>
      <c r="C264" s="11"/>
      <c r="D264" s="11"/>
      <c r="E264" s="11"/>
      <c r="F264" s="11"/>
      <c r="G264" s="11"/>
      <c r="H264" s="11"/>
      <c r="I264" s="24"/>
      <c r="J264" s="24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</row>
    <row r="265" spans="1:23" x14ac:dyDescent="0.2">
      <c r="A265" s="23"/>
      <c r="B265" s="8"/>
      <c r="C265" s="11"/>
      <c r="D265" s="11"/>
      <c r="E265" s="11"/>
      <c r="F265" s="11"/>
      <c r="G265" s="11"/>
      <c r="H265" s="11"/>
      <c r="I265" s="24"/>
      <c r="J265" s="24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</row>
    <row r="266" spans="1:23" x14ac:dyDescent="0.2">
      <c r="A266" s="23"/>
      <c r="B266" s="8"/>
      <c r="C266" s="11"/>
      <c r="D266" s="11"/>
      <c r="E266" s="11"/>
      <c r="F266" s="11"/>
      <c r="G266" s="11"/>
      <c r="H266" s="11"/>
      <c r="I266" s="24"/>
      <c r="J266" s="24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</row>
    <row r="267" spans="1:23" x14ac:dyDescent="0.2">
      <c r="A267" s="23"/>
      <c r="B267" s="8"/>
      <c r="C267" s="11"/>
      <c r="D267" s="11"/>
      <c r="E267" s="11"/>
      <c r="F267" s="11"/>
      <c r="G267" s="11"/>
      <c r="H267" s="11"/>
      <c r="I267" s="24"/>
      <c r="J267" s="24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</row>
    <row r="268" spans="1:23" x14ac:dyDescent="0.2">
      <c r="A268" s="23"/>
      <c r="B268" s="8"/>
      <c r="C268" s="11"/>
      <c r="D268" s="11"/>
      <c r="E268" s="11"/>
      <c r="F268" s="11"/>
      <c r="G268" s="11"/>
      <c r="H268" s="11"/>
      <c r="I268" s="24"/>
      <c r="J268" s="24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</row>
    <row r="269" spans="1:23" x14ac:dyDescent="0.2">
      <c r="A269" s="23"/>
      <c r="B269" s="8"/>
      <c r="C269" s="11"/>
      <c r="D269" s="11"/>
      <c r="E269" s="11"/>
      <c r="F269" s="11"/>
      <c r="G269" s="11"/>
      <c r="H269" s="11"/>
      <c r="I269" s="24"/>
      <c r="J269" s="24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</row>
    <row r="270" spans="1:23" x14ac:dyDescent="0.2">
      <c r="A270" s="23"/>
      <c r="B270" s="8"/>
      <c r="C270" s="11"/>
      <c r="D270" s="11"/>
      <c r="E270" s="11"/>
      <c r="F270" s="11"/>
      <c r="G270" s="11"/>
      <c r="H270" s="11"/>
      <c r="I270" s="24"/>
      <c r="J270" s="24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</row>
    <row r="271" spans="1:23" x14ac:dyDescent="0.2">
      <c r="A271" s="23"/>
      <c r="B271" s="8"/>
      <c r="C271" s="11"/>
      <c r="D271" s="11"/>
      <c r="E271" s="11"/>
      <c r="F271" s="11"/>
      <c r="G271" s="11"/>
      <c r="H271" s="11"/>
      <c r="I271" s="24"/>
      <c r="J271" s="24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</row>
    <row r="272" spans="1:23" x14ac:dyDescent="0.2">
      <c r="A272" s="23"/>
      <c r="B272" s="8"/>
      <c r="C272" s="11"/>
      <c r="D272" s="11"/>
      <c r="E272" s="11"/>
      <c r="F272" s="11"/>
      <c r="G272" s="11"/>
      <c r="H272" s="11"/>
      <c r="I272" s="24"/>
      <c r="J272" s="24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</row>
    <row r="273" spans="1:23" x14ac:dyDescent="0.2">
      <c r="A273" s="23"/>
      <c r="B273" s="8"/>
      <c r="C273" s="11"/>
      <c r="D273" s="11"/>
      <c r="E273" s="11"/>
      <c r="F273" s="11"/>
      <c r="G273" s="11"/>
      <c r="H273" s="11"/>
      <c r="I273" s="24"/>
      <c r="J273" s="24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</row>
    <row r="274" spans="1:23" x14ac:dyDescent="0.2">
      <c r="A274" s="23"/>
      <c r="B274" s="8"/>
      <c r="C274" s="11"/>
      <c r="D274" s="11"/>
      <c r="E274" s="11"/>
      <c r="F274" s="11"/>
      <c r="G274" s="11"/>
      <c r="H274" s="11"/>
      <c r="I274" s="24"/>
      <c r="J274" s="24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</row>
    <row r="275" spans="1:23" x14ac:dyDescent="0.2">
      <c r="A275" s="23"/>
      <c r="B275" s="8"/>
      <c r="C275" s="11"/>
      <c r="D275" s="11"/>
      <c r="E275" s="11"/>
      <c r="F275" s="11"/>
      <c r="G275" s="11"/>
      <c r="H275" s="11"/>
      <c r="I275" s="24"/>
      <c r="J275" s="24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</row>
    <row r="276" spans="1:23" x14ac:dyDescent="0.2">
      <c r="A276" s="23"/>
      <c r="B276" s="8"/>
      <c r="C276" s="11"/>
      <c r="D276" s="11"/>
      <c r="E276" s="11"/>
      <c r="F276" s="11"/>
      <c r="G276" s="11"/>
      <c r="H276" s="11"/>
      <c r="I276" s="24"/>
      <c r="J276" s="24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</row>
    <row r="277" spans="1:23" x14ac:dyDescent="0.2">
      <c r="A277" s="23"/>
      <c r="B277" s="8"/>
      <c r="C277" s="11"/>
      <c r="D277" s="11"/>
      <c r="E277" s="11"/>
      <c r="F277" s="11"/>
      <c r="G277" s="11"/>
      <c r="H277" s="11"/>
      <c r="I277" s="24"/>
      <c r="J277" s="24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</row>
    <row r="278" spans="1:23" x14ac:dyDescent="0.2">
      <c r="A278" s="23"/>
      <c r="B278" s="8"/>
      <c r="C278" s="11"/>
      <c r="D278" s="11"/>
      <c r="E278" s="11"/>
      <c r="F278" s="11"/>
      <c r="G278" s="11"/>
      <c r="H278" s="11"/>
      <c r="I278" s="24"/>
      <c r="J278" s="24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</row>
    <row r="279" spans="1:23" x14ac:dyDescent="0.2">
      <c r="A279" s="23"/>
      <c r="B279" s="8"/>
      <c r="C279" s="11"/>
      <c r="D279" s="11"/>
      <c r="E279" s="11"/>
      <c r="F279" s="11"/>
      <c r="G279" s="11"/>
      <c r="H279" s="11"/>
      <c r="I279" s="24"/>
      <c r="J279" s="24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</row>
    <row r="280" spans="1:23" x14ac:dyDescent="0.2">
      <c r="A280" s="23"/>
      <c r="B280" s="8"/>
      <c r="C280" s="11"/>
      <c r="D280" s="11"/>
      <c r="E280" s="11"/>
      <c r="F280" s="11"/>
      <c r="G280" s="11"/>
      <c r="H280" s="11"/>
      <c r="I280" s="24"/>
      <c r="J280" s="24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</row>
    <row r="281" spans="1:23" x14ac:dyDescent="0.2">
      <c r="A281" s="23"/>
      <c r="B281" s="8"/>
      <c r="C281" s="11"/>
      <c r="D281" s="11"/>
      <c r="E281" s="11"/>
      <c r="F281" s="11"/>
      <c r="G281" s="11"/>
      <c r="H281" s="11"/>
      <c r="I281" s="24"/>
      <c r="J281" s="24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</row>
    <row r="282" spans="1:23" x14ac:dyDescent="0.2">
      <c r="A282" s="23"/>
      <c r="B282" s="8"/>
      <c r="C282" s="11"/>
      <c r="D282" s="11"/>
      <c r="E282" s="11"/>
      <c r="F282" s="11"/>
      <c r="G282" s="11"/>
      <c r="H282" s="11"/>
      <c r="I282" s="24"/>
      <c r="J282" s="24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</row>
    <row r="283" spans="1:23" x14ac:dyDescent="0.2">
      <c r="A283" s="23"/>
      <c r="B283" s="8"/>
      <c r="C283" s="11"/>
      <c r="D283" s="11"/>
      <c r="E283" s="11"/>
      <c r="F283" s="11"/>
      <c r="G283" s="11"/>
      <c r="H283" s="11"/>
      <c r="I283" s="24"/>
      <c r="J283" s="24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</row>
    <row r="284" spans="1:23" x14ac:dyDescent="0.2">
      <c r="A284" s="23"/>
      <c r="B284" s="8"/>
      <c r="C284" s="11"/>
      <c r="D284" s="11"/>
      <c r="E284" s="11"/>
      <c r="F284" s="11"/>
      <c r="G284" s="11"/>
      <c r="H284" s="11"/>
      <c r="I284" s="24"/>
      <c r="J284" s="24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</row>
    <row r="285" spans="1:23" x14ac:dyDescent="0.2">
      <c r="A285" s="23"/>
      <c r="B285" s="8"/>
      <c r="C285" s="11"/>
      <c r="D285" s="11"/>
      <c r="E285" s="11"/>
      <c r="F285" s="11"/>
      <c r="G285" s="11"/>
      <c r="H285" s="11"/>
      <c r="I285" s="24"/>
      <c r="J285" s="24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</row>
    <row r="286" spans="1:23" x14ac:dyDescent="0.2">
      <c r="A286" s="23"/>
      <c r="B286" s="8"/>
      <c r="C286" s="11"/>
      <c r="D286" s="11"/>
      <c r="E286" s="11"/>
      <c r="F286" s="11"/>
      <c r="G286" s="11"/>
      <c r="H286" s="11"/>
      <c r="I286" s="24"/>
      <c r="J286" s="24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</row>
    <row r="287" spans="1:23" x14ac:dyDescent="0.2">
      <c r="A287" s="23"/>
      <c r="B287" s="8"/>
      <c r="C287" s="11"/>
      <c r="D287" s="11"/>
      <c r="E287" s="11"/>
      <c r="F287" s="11"/>
      <c r="G287" s="11"/>
      <c r="H287" s="11"/>
      <c r="I287" s="24"/>
      <c r="J287" s="24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</row>
    <row r="288" spans="1:23" x14ac:dyDescent="0.2">
      <c r="A288" s="23"/>
      <c r="B288" s="8"/>
      <c r="C288" s="11"/>
      <c r="D288" s="11"/>
      <c r="E288" s="11"/>
      <c r="F288" s="11"/>
      <c r="G288" s="11"/>
      <c r="H288" s="11"/>
      <c r="I288" s="24"/>
      <c r="J288" s="24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</row>
    <row r="289" spans="1:23" x14ac:dyDescent="0.2">
      <c r="A289" s="23"/>
      <c r="B289" s="8"/>
      <c r="C289" s="11"/>
      <c r="D289" s="11"/>
      <c r="E289" s="11"/>
      <c r="F289" s="11"/>
      <c r="G289" s="11"/>
      <c r="H289" s="11"/>
      <c r="I289" s="24"/>
      <c r="J289" s="24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</row>
    <row r="290" spans="1:23" x14ac:dyDescent="0.2">
      <c r="A290" s="23"/>
      <c r="B290" s="8"/>
      <c r="C290" s="11"/>
      <c r="D290" s="11"/>
      <c r="E290" s="11"/>
      <c r="F290" s="11"/>
      <c r="G290" s="11"/>
      <c r="H290" s="11"/>
      <c r="I290" s="24"/>
      <c r="J290" s="24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</row>
    <row r="291" spans="1:23" x14ac:dyDescent="0.2">
      <c r="A291" s="23"/>
      <c r="B291" s="8"/>
      <c r="C291" s="11"/>
      <c r="D291" s="11"/>
      <c r="E291" s="11"/>
      <c r="F291" s="11"/>
      <c r="G291" s="11"/>
      <c r="H291" s="11"/>
      <c r="I291" s="24"/>
      <c r="J291" s="24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</row>
    <row r="292" spans="1:23" x14ac:dyDescent="0.2">
      <c r="A292" s="23"/>
      <c r="B292" s="8"/>
      <c r="C292" s="11"/>
      <c r="D292" s="11"/>
      <c r="E292" s="11"/>
      <c r="F292" s="11"/>
      <c r="G292" s="11"/>
      <c r="H292" s="11"/>
      <c r="I292" s="24"/>
      <c r="J292" s="24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</row>
    <row r="293" spans="1:23" x14ac:dyDescent="0.2">
      <c r="A293" s="23"/>
      <c r="B293" s="8"/>
      <c r="C293" s="11"/>
      <c r="D293" s="11"/>
      <c r="E293" s="11"/>
      <c r="F293" s="11"/>
      <c r="G293" s="11"/>
      <c r="H293" s="11"/>
      <c r="I293" s="24"/>
      <c r="J293" s="24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</row>
    <row r="294" spans="1:23" x14ac:dyDescent="0.2">
      <c r="A294" s="23"/>
      <c r="B294" s="8"/>
      <c r="C294" s="11"/>
      <c r="D294" s="11"/>
      <c r="E294" s="11"/>
      <c r="F294" s="11"/>
      <c r="G294" s="11"/>
      <c r="H294" s="11"/>
      <c r="I294" s="24"/>
      <c r="J294" s="24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</row>
    <row r="295" spans="1:23" x14ac:dyDescent="0.2">
      <c r="A295" s="23"/>
      <c r="B295" s="8"/>
      <c r="C295" s="11"/>
      <c r="D295" s="11"/>
      <c r="E295" s="11"/>
      <c r="F295" s="11"/>
      <c r="G295" s="11"/>
      <c r="H295" s="11"/>
      <c r="I295" s="24"/>
      <c r="J295" s="24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</row>
    <row r="296" spans="1:23" x14ac:dyDescent="0.2">
      <c r="A296" s="23"/>
      <c r="B296" s="8"/>
      <c r="C296" s="11"/>
      <c r="D296" s="11"/>
      <c r="E296" s="11"/>
      <c r="F296" s="11"/>
      <c r="G296" s="11"/>
      <c r="H296" s="11"/>
      <c r="I296" s="24"/>
      <c r="J296" s="24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</row>
    <row r="297" spans="1:23" x14ac:dyDescent="0.2">
      <c r="A297" s="23"/>
      <c r="B297" s="8"/>
      <c r="C297" s="11"/>
      <c r="D297" s="11"/>
      <c r="E297" s="11"/>
      <c r="F297" s="11"/>
      <c r="G297" s="11"/>
      <c r="H297" s="11"/>
      <c r="I297" s="24"/>
      <c r="J297" s="24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</row>
    <row r="298" spans="1:23" x14ac:dyDescent="0.2">
      <c r="A298" s="23"/>
      <c r="B298" s="8"/>
      <c r="C298" s="11"/>
      <c r="D298" s="11"/>
      <c r="E298" s="11"/>
      <c r="F298" s="11"/>
      <c r="G298" s="11"/>
      <c r="H298" s="11"/>
      <c r="I298" s="24"/>
      <c r="J298" s="24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</row>
    <row r="299" spans="1:23" x14ac:dyDescent="0.2">
      <c r="A299" s="23"/>
      <c r="B299" s="8"/>
      <c r="C299" s="11"/>
      <c r="D299" s="11"/>
      <c r="E299" s="11"/>
      <c r="F299" s="11"/>
      <c r="G299" s="11"/>
      <c r="H299" s="11"/>
      <c r="I299" s="24"/>
      <c r="J299" s="24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</row>
    <row r="300" spans="1:23" x14ac:dyDescent="0.2">
      <c r="A300" s="23"/>
      <c r="B300" s="8"/>
      <c r="C300" s="11"/>
      <c r="D300" s="11"/>
      <c r="E300" s="11"/>
      <c r="F300" s="11"/>
      <c r="G300" s="11"/>
      <c r="H300" s="11"/>
      <c r="I300" s="24"/>
      <c r="J300" s="24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</row>
    <row r="301" spans="1:23" x14ac:dyDescent="0.2">
      <c r="A301" s="23"/>
      <c r="B301" s="8"/>
      <c r="C301" s="11"/>
      <c r="D301" s="11"/>
      <c r="E301" s="11"/>
      <c r="F301" s="11"/>
      <c r="G301" s="11"/>
      <c r="H301" s="11"/>
      <c r="I301" s="24"/>
      <c r="J301" s="24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</row>
    <row r="302" spans="1:23" x14ac:dyDescent="0.2">
      <c r="A302" s="23"/>
      <c r="B302" s="8"/>
      <c r="C302" s="11"/>
      <c r="D302" s="11"/>
      <c r="E302" s="11"/>
      <c r="F302" s="11"/>
      <c r="G302" s="11"/>
      <c r="H302" s="11"/>
      <c r="I302" s="24"/>
      <c r="J302" s="24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</row>
    <row r="303" spans="1:23" x14ac:dyDescent="0.2">
      <c r="A303" s="23"/>
      <c r="B303" s="8"/>
      <c r="C303" s="11"/>
      <c r="D303" s="11"/>
      <c r="E303" s="11"/>
      <c r="F303" s="11"/>
      <c r="G303" s="11"/>
      <c r="H303" s="11"/>
      <c r="I303" s="24"/>
      <c r="J303" s="24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</row>
    <row r="304" spans="1:23" x14ac:dyDescent="0.2">
      <c r="A304" s="23"/>
      <c r="B304" s="8"/>
      <c r="C304" s="11"/>
      <c r="D304" s="11"/>
      <c r="E304" s="11"/>
      <c r="F304" s="11"/>
      <c r="G304" s="11"/>
      <c r="H304" s="11"/>
      <c r="I304" s="24"/>
      <c r="J304" s="24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</row>
    <row r="305" spans="1:23" x14ac:dyDescent="0.2">
      <c r="A305" s="23"/>
      <c r="B305" s="8"/>
      <c r="C305" s="11"/>
      <c r="D305" s="11"/>
      <c r="E305" s="11"/>
      <c r="F305" s="11"/>
      <c r="G305" s="11"/>
      <c r="H305" s="11"/>
      <c r="I305" s="24"/>
      <c r="J305" s="24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</row>
    <row r="306" spans="1:23" x14ac:dyDescent="0.2">
      <c r="A306" s="23"/>
      <c r="B306" s="8"/>
      <c r="C306" s="11"/>
      <c r="D306" s="11"/>
      <c r="E306" s="11"/>
      <c r="F306" s="11"/>
      <c r="G306" s="11"/>
      <c r="H306" s="11"/>
      <c r="I306" s="24"/>
      <c r="J306" s="24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</row>
    <row r="307" spans="1:23" x14ac:dyDescent="0.2">
      <c r="A307" s="23"/>
      <c r="B307" s="8"/>
      <c r="C307" s="11"/>
      <c r="D307" s="11"/>
      <c r="E307" s="11"/>
      <c r="F307" s="11"/>
      <c r="G307" s="11"/>
      <c r="H307" s="11"/>
      <c r="I307" s="24"/>
      <c r="J307" s="24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</row>
    <row r="308" spans="1:23" x14ac:dyDescent="0.2">
      <c r="A308" s="23"/>
      <c r="B308" s="8"/>
      <c r="C308" s="11"/>
      <c r="D308" s="11"/>
      <c r="E308" s="11"/>
      <c r="F308" s="11"/>
      <c r="G308" s="11"/>
      <c r="H308" s="11"/>
      <c r="I308" s="24"/>
      <c r="J308" s="24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</row>
    <row r="309" spans="1:23" x14ac:dyDescent="0.2">
      <c r="A309" s="23"/>
      <c r="B309" s="8"/>
      <c r="C309" s="11"/>
      <c r="D309" s="11"/>
      <c r="E309" s="11"/>
      <c r="F309" s="11"/>
      <c r="G309" s="11"/>
      <c r="H309" s="11"/>
      <c r="I309" s="24"/>
      <c r="J309" s="24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</row>
    <row r="310" spans="1:23" x14ac:dyDescent="0.2">
      <c r="A310" s="23"/>
      <c r="B310" s="8"/>
      <c r="C310" s="11"/>
      <c r="D310" s="11"/>
      <c r="E310" s="11"/>
      <c r="F310" s="11"/>
      <c r="G310" s="11"/>
      <c r="H310" s="11"/>
      <c r="I310" s="24"/>
      <c r="J310" s="24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</row>
    <row r="311" spans="1:23" x14ac:dyDescent="0.2">
      <c r="A311" s="25"/>
      <c r="B311" s="8"/>
      <c r="C311" s="9"/>
      <c r="D311" s="9"/>
      <c r="E311" s="9"/>
      <c r="F311" s="9"/>
      <c r="G311" s="10"/>
      <c r="H311" s="10"/>
      <c r="I311" s="10"/>
      <c r="J311" s="10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</row>
    <row r="312" spans="1:23" x14ac:dyDescent="0.2">
      <c r="A312" s="25"/>
      <c r="B312" s="8"/>
      <c r="C312" s="12"/>
      <c r="D312" s="12"/>
      <c r="E312" s="12"/>
      <c r="F312" s="12"/>
      <c r="G312" s="10"/>
      <c r="H312" s="10"/>
      <c r="I312" s="10"/>
      <c r="J312" s="10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</row>
    <row r="313" spans="1:23" x14ac:dyDescent="0.2">
      <c r="A313" s="25"/>
      <c r="B313" s="8"/>
      <c r="C313" s="12"/>
      <c r="D313" s="12"/>
      <c r="E313" s="12"/>
      <c r="F313" s="12"/>
      <c r="G313" s="10"/>
      <c r="H313" s="10"/>
      <c r="I313" s="10"/>
      <c r="J313" s="10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</row>
    <row r="314" spans="1:23" x14ac:dyDescent="0.2">
      <c r="A314" s="25"/>
      <c r="B314" s="8"/>
      <c r="C314" s="9"/>
      <c r="D314" s="9"/>
      <c r="E314" s="9"/>
      <c r="F314" s="9"/>
      <c r="G314" s="12"/>
      <c r="H314" s="12"/>
      <c r="I314" s="10"/>
      <c r="J314" s="10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</row>
    <row r="315" spans="1:23" x14ac:dyDescent="0.2">
      <c r="A315" s="25"/>
      <c r="B315" s="8"/>
      <c r="C315" s="12"/>
      <c r="D315" s="12"/>
      <c r="E315" s="12"/>
      <c r="F315" s="12"/>
      <c r="G315" s="10"/>
      <c r="H315" s="10"/>
      <c r="I315" s="10"/>
      <c r="J315" s="10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</row>
    <row r="316" spans="1:23" x14ac:dyDescent="0.2">
      <c r="A316" s="25"/>
      <c r="B316" s="8"/>
      <c r="C316" s="9"/>
      <c r="D316" s="9"/>
      <c r="E316" s="9"/>
      <c r="F316" s="9"/>
      <c r="G316" s="10"/>
      <c r="H316" s="10"/>
      <c r="I316" s="10"/>
      <c r="J316" s="10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</row>
    <row r="317" spans="1:23" x14ac:dyDescent="0.2">
      <c r="A317" s="25"/>
      <c r="B317" s="8"/>
      <c r="C317" s="12"/>
      <c r="D317" s="12"/>
      <c r="E317" s="12"/>
      <c r="F317" s="12"/>
      <c r="G317" s="10"/>
      <c r="H317" s="10"/>
      <c r="I317" s="10"/>
      <c r="J317" s="10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</row>
    <row r="318" spans="1:23" x14ac:dyDescent="0.2">
      <c r="A318" s="25"/>
      <c r="B318" s="8"/>
      <c r="C318" s="9"/>
      <c r="D318" s="9"/>
      <c r="E318" s="9"/>
      <c r="F318" s="9"/>
      <c r="G318" s="10"/>
      <c r="H318" s="10"/>
      <c r="I318" s="10"/>
      <c r="J318" s="10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</row>
    <row r="319" spans="1:23" x14ac:dyDescent="0.2">
      <c r="A319" s="25"/>
      <c r="B319" s="8"/>
      <c r="C319" s="9"/>
      <c r="D319" s="9"/>
      <c r="E319" s="9"/>
      <c r="F319" s="9"/>
      <c r="G319" s="10"/>
      <c r="H319" s="10"/>
      <c r="I319" s="10"/>
      <c r="J319" s="10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</row>
    <row r="320" spans="1:23" x14ac:dyDescent="0.2">
      <c r="A320" s="25"/>
      <c r="B320" s="8"/>
      <c r="C320" s="9"/>
      <c r="D320" s="9"/>
      <c r="E320" s="9"/>
      <c r="F320" s="9"/>
      <c r="G320" s="10"/>
      <c r="H320" s="9"/>
      <c r="I320" s="10"/>
      <c r="J320" s="10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</row>
    <row r="321" spans="1:23" x14ac:dyDescent="0.2">
      <c r="A321" s="25"/>
      <c r="B321" s="8"/>
      <c r="C321" s="9"/>
      <c r="D321" s="9"/>
      <c r="E321" s="9"/>
      <c r="F321" s="9"/>
      <c r="G321" s="9"/>
      <c r="H321" s="9"/>
      <c r="I321" s="10"/>
      <c r="J321" s="10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</row>
    <row r="322" spans="1:23" x14ac:dyDescent="0.2">
      <c r="A322" s="25"/>
      <c r="B322" s="8"/>
      <c r="C322" s="12"/>
      <c r="D322" s="12"/>
      <c r="E322" s="12"/>
      <c r="F322" s="12"/>
      <c r="G322" s="10"/>
      <c r="H322" s="10"/>
      <c r="I322" s="10"/>
      <c r="J322" s="10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</row>
    <row r="323" spans="1:23" x14ac:dyDescent="0.2">
      <c r="A323" s="25"/>
      <c r="B323" s="8"/>
      <c r="C323" s="10"/>
      <c r="D323" s="10"/>
      <c r="E323" s="10"/>
      <c r="F323" s="10"/>
      <c r="G323" s="10"/>
      <c r="H323" s="10"/>
      <c r="I323" s="10"/>
      <c r="J323" s="10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</row>
    <row r="324" spans="1:23" x14ac:dyDescent="0.2">
      <c r="A324" s="25"/>
      <c r="B324" s="8"/>
      <c r="C324" s="9"/>
      <c r="D324" s="9"/>
      <c r="E324" s="9"/>
      <c r="F324" s="9"/>
      <c r="G324" s="10"/>
      <c r="H324" s="10"/>
      <c r="I324" s="10"/>
      <c r="J324" s="10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</row>
    <row r="325" spans="1:23" x14ac:dyDescent="0.2">
      <c r="A325" s="25"/>
      <c r="B325" s="8"/>
      <c r="C325" s="10"/>
      <c r="D325" s="10"/>
      <c r="E325" s="10"/>
      <c r="F325" s="10"/>
      <c r="G325" s="10"/>
      <c r="H325" s="10"/>
      <c r="I325" s="10"/>
      <c r="J325" s="10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</row>
    <row r="326" spans="1:23" x14ac:dyDescent="0.2">
      <c r="A326" s="25"/>
      <c r="B326" s="8"/>
      <c r="C326" s="12"/>
      <c r="D326" s="12"/>
      <c r="E326" s="12"/>
      <c r="F326" s="12"/>
      <c r="G326" s="10"/>
      <c r="H326" s="10"/>
      <c r="I326" s="10"/>
      <c r="J326" s="10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</row>
    <row r="327" spans="1:23" x14ac:dyDescent="0.2">
      <c r="A327" s="25"/>
      <c r="B327" s="8"/>
      <c r="C327" s="10"/>
      <c r="D327" s="10"/>
      <c r="E327" s="10"/>
      <c r="F327" s="10"/>
      <c r="G327" s="10"/>
      <c r="H327" s="10"/>
      <c r="I327" s="10"/>
      <c r="J327" s="10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</row>
    <row r="328" spans="1:23" x14ac:dyDescent="0.2">
      <c r="A328" s="25"/>
      <c r="B328" s="8"/>
      <c r="C328" s="10"/>
      <c r="D328" s="10"/>
      <c r="E328" s="9"/>
      <c r="F328" s="9"/>
      <c r="G328" s="10"/>
      <c r="H328" s="10"/>
      <c r="I328" s="10"/>
      <c r="J328" s="10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</row>
    <row r="329" spans="1:23" x14ac:dyDescent="0.2">
      <c r="A329" s="25"/>
      <c r="B329" s="8"/>
      <c r="C329" s="9"/>
      <c r="D329" s="9"/>
      <c r="E329" s="10"/>
      <c r="F329" s="10"/>
      <c r="G329" s="10"/>
      <c r="H329" s="10"/>
      <c r="I329" s="10"/>
      <c r="J329" s="10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</row>
    <row r="330" spans="1:23" x14ac:dyDescent="0.2">
      <c r="A330" s="25"/>
      <c r="B330" s="8"/>
      <c r="C330" s="9"/>
      <c r="D330" s="12"/>
      <c r="E330" s="12"/>
      <c r="F330" s="12"/>
      <c r="G330" s="10"/>
      <c r="H330" s="9"/>
      <c r="I330" s="10"/>
      <c r="J330" s="10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</row>
    <row r="331" spans="1:23" x14ac:dyDescent="0.2">
      <c r="A331" s="25"/>
      <c r="B331" s="8"/>
      <c r="C331" s="9"/>
      <c r="D331" s="12"/>
      <c r="E331" s="12"/>
      <c r="F331" s="12"/>
      <c r="G331" s="10"/>
      <c r="H331" s="10"/>
      <c r="I331" s="10"/>
      <c r="J331" s="10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</row>
    <row r="332" spans="1:23" x14ac:dyDescent="0.2">
      <c r="A332" s="25"/>
      <c r="B332" s="8"/>
      <c r="C332" s="9"/>
      <c r="D332" s="12"/>
      <c r="E332" s="12"/>
      <c r="F332" s="9"/>
      <c r="G332" s="10"/>
      <c r="H332" s="10"/>
      <c r="I332" s="10"/>
      <c r="J332" s="10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</row>
    <row r="333" spans="1:23" x14ac:dyDescent="0.2">
      <c r="A333" s="25"/>
      <c r="B333" s="8"/>
      <c r="C333" s="9"/>
      <c r="D333" s="9"/>
      <c r="E333" s="9"/>
      <c r="F333" s="9"/>
      <c r="G333" s="10"/>
      <c r="H333" s="10"/>
      <c r="I333" s="10"/>
      <c r="J333" s="10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</row>
    <row r="334" spans="1:23" x14ac:dyDescent="0.2">
      <c r="A334" s="25"/>
      <c r="B334" s="8"/>
      <c r="C334" s="9"/>
      <c r="D334" s="9"/>
      <c r="E334" s="9"/>
      <c r="F334" s="9"/>
      <c r="G334" s="10"/>
      <c r="H334" s="10"/>
      <c r="I334" s="10"/>
      <c r="J334" s="10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</row>
    <row r="335" spans="1:23" x14ac:dyDescent="0.2">
      <c r="A335" s="25"/>
      <c r="B335" s="8"/>
      <c r="C335" s="9"/>
      <c r="D335" s="9"/>
      <c r="E335" s="9"/>
      <c r="F335" s="9"/>
      <c r="G335" s="10"/>
      <c r="H335" s="10"/>
      <c r="I335" s="10"/>
      <c r="J335" s="10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</row>
    <row r="336" spans="1:23" x14ac:dyDescent="0.2">
      <c r="A336" s="25"/>
      <c r="B336" s="8"/>
      <c r="C336" s="9"/>
      <c r="D336" s="9"/>
      <c r="E336" s="9"/>
      <c r="F336" s="9"/>
      <c r="G336" s="10"/>
      <c r="H336" s="10"/>
      <c r="I336" s="10"/>
      <c r="J336" s="10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</row>
    <row r="337" spans="1:23" x14ac:dyDescent="0.2">
      <c r="A337" s="25"/>
      <c r="B337" s="8"/>
      <c r="C337" s="12"/>
      <c r="D337" s="12"/>
      <c r="E337" s="12"/>
      <c r="F337" s="12"/>
      <c r="G337" s="10"/>
      <c r="H337" s="10"/>
      <c r="I337" s="10"/>
      <c r="J337" s="10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</row>
    <row r="338" spans="1:23" x14ac:dyDescent="0.2">
      <c r="A338" s="25"/>
      <c r="B338" s="8"/>
      <c r="C338" s="12"/>
      <c r="D338" s="12"/>
      <c r="E338" s="12"/>
      <c r="F338" s="12"/>
      <c r="G338" s="10"/>
      <c r="H338" s="10"/>
      <c r="I338" s="10"/>
      <c r="J338" s="10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</row>
    <row r="339" spans="1:23" x14ac:dyDescent="0.2">
      <c r="A339" s="25"/>
      <c r="B339" s="8"/>
      <c r="C339" s="9"/>
      <c r="D339" s="12"/>
      <c r="E339" s="12"/>
      <c r="F339" s="12"/>
      <c r="G339" s="10"/>
      <c r="H339" s="10"/>
      <c r="I339" s="10"/>
      <c r="J339" s="10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</row>
    <row r="340" spans="1:23" x14ac:dyDescent="0.2">
      <c r="A340" s="25"/>
      <c r="B340" s="8"/>
      <c r="C340" s="9"/>
      <c r="D340" s="12"/>
      <c r="E340" s="12"/>
      <c r="F340" s="12"/>
      <c r="G340" s="10"/>
      <c r="H340" s="10"/>
      <c r="I340" s="10"/>
      <c r="J340" s="10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</row>
    <row r="341" spans="1:23" x14ac:dyDescent="0.2">
      <c r="A341" s="25"/>
      <c r="B341" s="8"/>
      <c r="C341" s="9"/>
      <c r="D341" s="12"/>
      <c r="E341" s="12"/>
      <c r="F341" s="9"/>
      <c r="G341" s="10"/>
      <c r="H341" s="10"/>
      <c r="I341" s="10"/>
      <c r="J341" s="10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</row>
    <row r="342" spans="1:23" x14ac:dyDescent="0.2">
      <c r="A342" s="25"/>
      <c r="B342" s="8"/>
      <c r="C342" s="9"/>
      <c r="D342" s="9"/>
      <c r="E342" s="9"/>
      <c r="F342" s="9"/>
      <c r="G342" s="10"/>
      <c r="H342" s="10"/>
      <c r="I342" s="10"/>
      <c r="J342" s="10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</row>
    <row r="343" spans="1:23" x14ac:dyDescent="0.2">
      <c r="A343" s="25"/>
      <c r="B343" s="8"/>
      <c r="C343" s="12"/>
      <c r="D343" s="12"/>
      <c r="E343" s="12"/>
      <c r="F343" s="12"/>
      <c r="G343" s="10"/>
      <c r="H343" s="10"/>
      <c r="I343" s="10"/>
      <c r="J343" s="10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</row>
    <row r="344" spans="1:23" x14ac:dyDescent="0.2">
      <c r="A344" s="25"/>
      <c r="B344" s="8"/>
      <c r="C344" s="12"/>
      <c r="D344" s="12"/>
      <c r="E344" s="12"/>
      <c r="F344" s="12"/>
      <c r="G344" s="10"/>
      <c r="H344" s="10"/>
      <c r="I344" s="10"/>
      <c r="J344" s="10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</row>
    <row r="345" spans="1:23" x14ac:dyDescent="0.2">
      <c r="A345" s="23"/>
      <c r="B345" s="8"/>
      <c r="C345" s="11"/>
      <c r="D345" s="11"/>
      <c r="E345" s="11"/>
      <c r="F345" s="11"/>
      <c r="G345" s="11"/>
      <c r="H345" s="11"/>
      <c r="I345" s="24"/>
      <c r="J345" s="24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</row>
    <row r="346" spans="1:23" x14ac:dyDescent="0.2">
      <c r="A346" s="26"/>
      <c r="B346" s="27"/>
      <c r="C346" s="28"/>
      <c r="D346" s="28"/>
      <c r="E346" s="28"/>
      <c r="F346" s="28"/>
      <c r="G346" s="29"/>
      <c r="H346" s="29"/>
      <c r="I346" s="29"/>
      <c r="J346" s="29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</row>
    <row r="347" spans="1:23" x14ac:dyDescent="0.2">
      <c r="A347" s="7"/>
      <c r="B347" s="8"/>
      <c r="C347" s="12"/>
      <c r="D347" s="12"/>
      <c r="E347" s="12"/>
      <c r="F347" s="12"/>
      <c r="G347" s="10"/>
      <c r="H347" s="10"/>
      <c r="I347" s="10"/>
      <c r="J347" s="10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</row>
    <row r="348" spans="1:23" x14ac:dyDescent="0.2">
      <c r="A348" s="7"/>
      <c r="B348" s="8"/>
      <c r="C348" s="12"/>
      <c r="D348" s="12"/>
      <c r="E348" s="12"/>
      <c r="F348" s="12"/>
      <c r="G348" s="10"/>
      <c r="H348" s="10"/>
      <c r="I348" s="10"/>
      <c r="J348" s="10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</row>
    <row r="349" spans="1:23" x14ac:dyDescent="0.2">
      <c r="A349" s="7"/>
      <c r="B349" s="8"/>
      <c r="C349" s="12"/>
      <c r="D349" s="12"/>
      <c r="E349" s="12"/>
      <c r="F349" s="12"/>
      <c r="G349" s="12"/>
      <c r="H349" s="12"/>
      <c r="I349" s="10"/>
      <c r="J349" s="10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</row>
    <row r="350" spans="1:23" x14ac:dyDescent="0.2">
      <c r="A350" s="7"/>
      <c r="B350" s="8"/>
      <c r="C350" s="12"/>
      <c r="D350" s="12"/>
      <c r="E350" s="12"/>
      <c r="F350" s="12"/>
      <c r="G350" s="10"/>
      <c r="H350" s="10"/>
      <c r="I350" s="10"/>
      <c r="J350" s="10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</row>
    <row r="351" spans="1:23" x14ac:dyDescent="0.2">
      <c r="A351" s="7"/>
      <c r="B351" s="8"/>
      <c r="C351" s="12"/>
      <c r="D351" s="12"/>
      <c r="E351" s="12"/>
      <c r="F351" s="12"/>
      <c r="G351" s="10"/>
      <c r="H351" s="10"/>
      <c r="I351" s="10"/>
      <c r="J351" s="10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</row>
    <row r="352" spans="1:23" x14ac:dyDescent="0.2">
      <c r="A352" s="7"/>
      <c r="B352" s="8"/>
      <c r="C352" s="12"/>
      <c r="D352" s="12"/>
      <c r="E352" s="12"/>
      <c r="F352" s="12"/>
      <c r="G352" s="10"/>
      <c r="H352" s="10"/>
      <c r="I352" s="10"/>
      <c r="J352" s="10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</row>
    <row r="353" spans="1:23" x14ac:dyDescent="0.2">
      <c r="A353" s="7"/>
      <c r="B353" s="8"/>
      <c r="C353" s="12"/>
      <c r="D353" s="12"/>
      <c r="E353" s="12"/>
      <c r="F353" s="12"/>
      <c r="G353" s="10"/>
      <c r="H353" s="10"/>
      <c r="I353" s="10"/>
      <c r="J353" s="10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</row>
    <row r="354" spans="1:23" x14ac:dyDescent="0.2">
      <c r="A354" s="7"/>
      <c r="B354" s="8"/>
      <c r="C354" s="12"/>
      <c r="D354" s="12"/>
      <c r="E354" s="12"/>
      <c r="F354" s="12"/>
      <c r="G354" s="10"/>
      <c r="H354" s="10"/>
      <c r="I354" s="10"/>
      <c r="J354" s="10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</row>
    <row r="355" spans="1:23" x14ac:dyDescent="0.2">
      <c r="A355" s="7"/>
      <c r="B355" s="8"/>
      <c r="C355" s="9"/>
      <c r="D355" s="12"/>
      <c r="E355" s="12"/>
      <c r="F355" s="12"/>
      <c r="G355" s="10"/>
      <c r="H355" s="9"/>
      <c r="I355" s="10"/>
      <c r="J355" s="10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</row>
    <row r="356" spans="1:23" x14ac:dyDescent="0.2">
      <c r="A356" s="7"/>
      <c r="B356" s="8"/>
      <c r="C356" s="9"/>
      <c r="D356" s="9"/>
      <c r="E356" s="9"/>
      <c r="F356" s="9"/>
      <c r="G356" s="9"/>
      <c r="H356" s="9"/>
      <c r="I356" s="10"/>
      <c r="J356" s="10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</row>
    <row r="357" spans="1:23" x14ac:dyDescent="0.2">
      <c r="A357" s="7"/>
      <c r="B357" s="8"/>
      <c r="C357" s="12"/>
      <c r="D357" s="12"/>
      <c r="E357" s="12"/>
      <c r="F357" s="12"/>
      <c r="G357" s="10"/>
      <c r="H357" s="10"/>
      <c r="I357" s="10"/>
      <c r="J357" s="10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</row>
    <row r="358" spans="1:23" x14ac:dyDescent="0.2">
      <c r="A358" s="7"/>
      <c r="B358" s="8"/>
      <c r="C358" s="10"/>
      <c r="D358" s="10"/>
      <c r="E358" s="10"/>
      <c r="F358" s="10"/>
      <c r="G358" s="10"/>
      <c r="H358" s="10"/>
      <c r="I358" s="10"/>
      <c r="J358" s="10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</row>
    <row r="359" spans="1:23" x14ac:dyDescent="0.2">
      <c r="A359" s="7"/>
      <c r="B359" s="8"/>
      <c r="C359" s="9"/>
      <c r="D359" s="9"/>
      <c r="E359" s="9"/>
      <c r="F359" s="9"/>
      <c r="G359" s="10"/>
      <c r="H359" s="10"/>
      <c r="I359" s="10"/>
      <c r="J359" s="10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</row>
    <row r="360" spans="1:23" x14ac:dyDescent="0.2">
      <c r="A360" s="7"/>
      <c r="B360" s="8"/>
      <c r="C360" s="10"/>
      <c r="D360" s="10"/>
      <c r="E360" s="10"/>
      <c r="F360" s="10"/>
      <c r="G360" s="10"/>
      <c r="H360" s="10"/>
      <c r="I360" s="10"/>
      <c r="J360" s="10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</row>
    <row r="361" spans="1:23" x14ac:dyDescent="0.2">
      <c r="A361" s="7"/>
      <c r="B361" s="8"/>
      <c r="C361" s="12"/>
      <c r="D361" s="12"/>
      <c r="E361" s="12"/>
      <c r="F361" s="12"/>
      <c r="G361" s="10"/>
      <c r="H361" s="10"/>
      <c r="I361" s="10"/>
      <c r="J361" s="10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</row>
    <row r="362" spans="1:23" x14ac:dyDescent="0.2">
      <c r="A362" s="7"/>
      <c r="B362" s="8"/>
      <c r="C362" s="9"/>
      <c r="D362" s="9"/>
      <c r="E362" s="10"/>
      <c r="F362" s="10"/>
      <c r="G362" s="10"/>
      <c r="H362" s="10"/>
      <c r="I362" s="10"/>
      <c r="J362" s="10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</row>
    <row r="363" spans="1:23" x14ac:dyDescent="0.2">
      <c r="A363" s="7"/>
      <c r="B363" s="8"/>
      <c r="C363" s="9"/>
      <c r="D363" s="9"/>
      <c r="E363" s="9"/>
      <c r="F363" s="9"/>
      <c r="G363" s="10"/>
      <c r="H363" s="10"/>
      <c r="I363" s="10"/>
      <c r="J363" s="10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</row>
    <row r="364" spans="1:23" x14ac:dyDescent="0.2">
      <c r="A364" s="7"/>
      <c r="B364" s="8"/>
      <c r="C364" s="9"/>
      <c r="D364" s="9"/>
      <c r="E364" s="10"/>
      <c r="F364" s="10"/>
      <c r="G364" s="10"/>
      <c r="H364" s="10"/>
      <c r="I364" s="10"/>
      <c r="J364" s="10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</row>
    <row r="365" spans="1:23" x14ac:dyDescent="0.2">
      <c r="A365" s="7"/>
      <c r="B365" s="8"/>
      <c r="C365" s="12"/>
      <c r="D365" s="12"/>
      <c r="E365" s="12"/>
      <c r="F365" s="12"/>
      <c r="G365" s="10"/>
      <c r="H365" s="10"/>
      <c r="I365" s="10"/>
      <c r="J365" s="10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</row>
    <row r="366" spans="1:23" x14ac:dyDescent="0.2">
      <c r="A366" s="7"/>
      <c r="B366" s="8"/>
      <c r="C366" s="9"/>
      <c r="D366" s="12"/>
      <c r="E366" s="12"/>
      <c r="F366" s="12"/>
      <c r="G366" s="10"/>
      <c r="H366" s="10"/>
      <c r="I366" s="10"/>
      <c r="J366" s="10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</row>
    <row r="367" spans="1:23" x14ac:dyDescent="0.2">
      <c r="A367" s="7"/>
      <c r="B367" s="8"/>
      <c r="C367" s="12"/>
      <c r="D367" s="12"/>
      <c r="E367" s="12"/>
      <c r="F367" s="12"/>
      <c r="G367" s="10"/>
      <c r="H367" s="10"/>
      <c r="I367" s="10"/>
      <c r="J367" s="10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</row>
    <row r="368" spans="1:23" x14ac:dyDescent="0.2">
      <c r="A368" s="7"/>
      <c r="B368" s="8"/>
      <c r="C368" s="12"/>
      <c r="D368" s="12"/>
      <c r="E368" s="12"/>
      <c r="F368" s="12"/>
      <c r="G368" s="10"/>
      <c r="H368" s="10"/>
      <c r="I368" s="10"/>
      <c r="J368" s="10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</row>
    <row r="369" spans="1:23" x14ac:dyDescent="0.2">
      <c r="A369" s="7"/>
      <c r="B369" s="8"/>
      <c r="C369" s="9"/>
      <c r="D369" s="12"/>
      <c r="E369" s="12"/>
      <c r="F369" s="12"/>
      <c r="G369" s="10"/>
      <c r="H369" s="10"/>
      <c r="I369" s="10"/>
      <c r="J369" s="10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</row>
    <row r="370" spans="1:23" x14ac:dyDescent="0.2">
      <c r="A370" s="7"/>
      <c r="B370" s="8"/>
      <c r="C370" s="9"/>
      <c r="D370" s="9"/>
      <c r="E370" s="9"/>
      <c r="F370" s="9"/>
      <c r="G370" s="10"/>
      <c r="H370" s="10"/>
      <c r="I370" s="10"/>
      <c r="J370" s="10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</row>
    <row r="371" spans="1:23" x14ac:dyDescent="0.2">
      <c r="A371" s="7"/>
      <c r="B371" s="8"/>
      <c r="C371" s="12"/>
      <c r="D371" s="12"/>
      <c r="E371" s="12"/>
      <c r="F371" s="12"/>
      <c r="G371" s="10"/>
      <c r="H371" s="10"/>
      <c r="I371" s="10"/>
      <c r="J371" s="10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</row>
    <row r="372" spans="1:23" x14ac:dyDescent="0.2">
      <c r="A372" s="7"/>
      <c r="B372" s="8"/>
      <c r="C372" s="12"/>
      <c r="D372" s="12"/>
      <c r="E372" s="12"/>
      <c r="F372" s="12"/>
      <c r="G372" s="10"/>
      <c r="H372" s="10"/>
      <c r="I372" s="10"/>
      <c r="J372" s="10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</row>
    <row r="373" spans="1:23" x14ac:dyDescent="0.2">
      <c r="A373" s="7"/>
      <c r="B373" s="8"/>
      <c r="C373" s="12"/>
      <c r="D373" s="12"/>
      <c r="E373" s="12"/>
      <c r="F373" s="12"/>
      <c r="G373" s="10"/>
      <c r="H373" s="10"/>
      <c r="I373" s="10"/>
      <c r="J373" s="10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</row>
    <row r="374" spans="1:23" x14ac:dyDescent="0.2">
      <c r="A374" s="7"/>
      <c r="B374" s="8"/>
      <c r="C374" s="9"/>
      <c r="D374" s="12"/>
      <c r="E374" s="12"/>
      <c r="F374" s="12"/>
      <c r="G374" s="10"/>
      <c r="H374" s="10"/>
      <c r="I374" s="10"/>
      <c r="J374" s="10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</row>
    <row r="375" spans="1:23" x14ac:dyDescent="0.2">
      <c r="A375" s="7"/>
      <c r="B375" s="8"/>
      <c r="C375" s="9"/>
      <c r="D375" s="12"/>
      <c r="E375" s="12"/>
      <c r="F375" s="12"/>
      <c r="G375" s="10"/>
      <c r="H375" s="10"/>
      <c r="I375" s="10"/>
      <c r="J375" s="10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</row>
    <row r="376" spans="1:23" x14ac:dyDescent="0.2">
      <c r="A376" s="7"/>
      <c r="B376" s="8"/>
      <c r="C376" s="9"/>
      <c r="D376" s="12"/>
      <c r="E376" s="12"/>
      <c r="F376" s="9"/>
      <c r="G376" s="10"/>
      <c r="H376" s="10"/>
      <c r="I376" s="10"/>
      <c r="J376" s="10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</row>
    <row r="377" spans="1:23" x14ac:dyDescent="0.2">
      <c r="A377" s="7"/>
      <c r="B377" s="8"/>
      <c r="C377" s="9"/>
      <c r="D377" s="9"/>
      <c r="E377" s="9"/>
      <c r="F377" s="9"/>
      <c r="G377" s="10"/>
      <c r="H377" s="10"/>
      <c r="I377" s="10"/>
      <c r="J377" s="10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</row>
    <row r="378" spans="1:23" x14ac:dyDescent="0.2">
      <c r="A378" s="7"/>
      <c r="B378" s="8"/>
      <c r="C378" s="12"/>
      <c r="D378" s="12"/>
      <c r="E378" s="12"/>
      <c r="F378" s="12"/>
      <c r="G378" s="10"/>
      <c r="H378" s="10"/>
      <c r="I378" s="10"/>
      <c r="J378" s="10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</row>
    <row r="379" spans="1:23" x14ac:dyDescent="0.2">
      <c r="A379" s="7"/>
      <c r="B379" s="8"/>
      <c r="C379" s="12"/>
      <c r="D379" s="12"/>
      <c r="E379" s="12"/>
      <c r="F379" s="12"/>
      <c r="G379" s="10"/>
      <c r="H379" s="10"/>
      <c r="I379" s="10"/>
      <c r="J379" s="10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</row>
    <row r="380" spans="1:23" x14ac:dyDescent="0.2">
      <c r="A380" s="23"/>
      <c r="B380" s="8"/>
      <c r="C380" s="11"/>
      <c r="D380" s="11"/>
      <c r="E380" s="11"/>
      <c r="F380" s="11"/>
      <c r="G380" s="11"/>
      <c r="H380" s="11"/>
      <c r="I380" s="24"/>
      <c r="J380" s="24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</row>
    <row r="381" spans="1:23" x14ac:dyDescent="0.2">
      <c r="A381" s="23"/>
      <c r="B381" s="8"/>
      <c r="C381" s="11"/>
      <c r="D381" s="11"/>
      <c r="E381" s="11"/>
      <c r="F381" s="11"/>
      <c r="G381" s="11"/>
      <c r="H381" s="11"/>
      <c r="I381" s="24"/>
      <c r="J381" s="24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</row>
    <row r="382" spans="1:23" x14ac:dyDescent="0.2">
      <c r="A382" s="23"/>
      <c r="B382" s="8"/>
      <c r="C382" s="11"/>
      <c r="D382" s="11"/>
      <c r="E382" s="11"/>
      <c r="F382" s="11"/>
      <c r="G382" s="11"/>
      <c r="H382" s="11"/>
      <c r="I382" s="24"/>
      <c r="J382" s="24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</row>
    <row r="383" spans="1:23" x14ac:dyDescent="0.2">
      <c r="A383" s="23"/>
      <c r="B383" s="8"/>
      <c r="C383" s="11"/>
      <c r="D383" s="11"/>
      <c r="E383" s="11"/>
      <c r="F383" s="11"/>
      <c r="G383" s="11"/>
      <c r="H383" s="11"/>
      <c r="I383" s="24"/>
      <c r="J383" s="24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</row>
    <row r="384" spans="1:23" x14ac:dyDescent="0.2">
      <c r="A384" s="23"/>
      <c r="B384" s="8"/>
      <c r="C384" s="11"/>
      <c r="D384" s="11"/>
      <c r="E384" s="11"/>
      <c r="F384" s="11"/>
      <c r="G384" s="11"/>
      <c r="H384" s="11"/>
      <c r="I384" s="24"/>
      <c r="J384" s="24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</row>
    <row r="385" spans="1:23" x14ac:dyDescent="0.2">
      <c r="A385" s="23"/>
      <c r="B385" s="8"/>
      <c r="C385" s="11"/>
      <c r="D385" s="11"/>
      <c r="E385" s="11"/>
      <c r="F385" s="11"/>
      <c r="G385" s="11"/>
      <c r="H385" s="11"/>
      <c r="I385" s="24"/>
      <c r="J385" s="24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</row>
    <row r="386" spans="1:23" x14ac:dyDescent="0.2">
      <c r="A386" s="23"/>
      <c r="B386" s="8"/>
      <c r="C386" s="11"/>
      <c r="D386" s="11"/>
      <c r="E386" s="11"/>
      <c r="F386" s="11"/>
      <c r="G386" s="11"/>
      <c r="H386" s="11"/>
      <c r="I386" s="24"/>
      <c r="J386" s="24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</row>
    <row r="387" spans="1:23" x14ac:dyDescent="0.2">
      <c r="A387" s="23"/>
      <c r="B387" s="8"/>
      <c r="C387" s="11"/>
      <c r="D387" s="11"/>
      <c r="E387" s="11"/>
      <c r="F387" s="11"/>
      <c r="G387" s="11"/>
      <c r="H387" s="11"/>
      <c r="I387" s="24"/>
      <c r="J387" s="24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</row>
    <row r="388" spans="1:23" x14ac:dyDescent="0.2">
      <c r="A388" s="23"/>
      <c r="B388" s="8"/>
      <c r="C388" s="11"/>
      <c r="D388" s="11"/>
      <c r="E388" s="11"/>
      <c r="F388" s="11"/>
      <c r="G388" s="11"/>
      <c r="H388" s="11"/>
      <c r="I388" s="24"/>
      <c r="J388" s="24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</row>
    <row r="389" spans="1:23" x14ac:dyDescent="0.2">
      <c r="A389" s="23"/>
      <c r="B389" s="8"/>
      <c r="C389" s="11"/>
      <c r="D389" s="11"/>
      <c r="E389" s="11"/>
      <c r="F389" s="11"/>
      <c r="G389" s="11"/>
      <c r="H389" s="11"/>
      <c r="I389" s="24"/>
      <c r="J389" s="24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</row>
    <row r="390" spans="1:23" x14ac:dyDescent="0.2">
      <c r="A390" s="23"/>
      <c r="B390" s="8"/>
      <c r="C390" s="11"/>
      <c r="D390" s="11"/>
      <c r="E390" s="11"/>
      <c r="F390" s="11"/>
      <c r="G390" s="11"/>
      <c r="H390" s="11"/>
      <c r="I390" s="24"/>
      <c r="J390" s="24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</row>
    <row r="391" spans="1:23" x14ac:dyDescent="0.2">
      <c r="A391" s="23"/>
      <c r="B391" s="8"/>
      <c r="C391" s="11"/>
      <c r="D391" s="11"/>
      <c r="E391" s="11"/>
      <c r="F391" s="11"/>
      <c r="G391" s="11"/>
      <c r="H391" s="11"/>
      <c r="I391" s="24"/>
      <c r="J391" s="24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</row>
    <row r="392" spans="1:23" x14ac:dyDescent="0.2">
      <c r="A392" s="23"/>
      <c r="B392" s="8"/>
      <c r="C392" s="11"/>
      <c r="D392" s="11"/>
      <c r="E392" s="11"/>
      <c r="F392" s="11"/>
      <c r="G392" s="11"/>
      <c r="H392" s="11"/>
      <c r="I392" s="24"/>
      <c r="J392" s="24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</row>
    <row r="393" spans="1:23" x14ac:dyDescent="0.2">
      <c r="A393" s="23"/>
      <c r="B393" s="8"/>
      <c r="C393" s="11"/>
      <c r="D393" s="11"/>
      <c r="E393" s="11"/>
      <c r="F393" s="11"/>
      <c r="G393" s="11"/>
      <c r="H393" s="11"/>
      <c r="I393" s="24"/>
      <c r="J393" s="24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</row>
    <row r="394" spans="1:23" x14ac:dyDescent="0.2">
      <c r="A394" s="23"/>
      <c r="B394" s="8"/>
      <c r="C394" s="11"/>
      <c r="D394" s="11"/>
      <c r="E394" s="11"/>
      <c r="F394" s="11"/>
      <c r="G394" s="11"/>
      <c r="H394" s="11"/>
      <c r="I394" s="24"/>
      <c r="J394" s="24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</row>
    <row r="395" spans="1:23" x14ac:dyDescent="0.2">
      <c r="A395" s="23"/>
      <c r="B395" s="8"/>
      <c r="C395" s="11"/>
      <c r="D395" s="11"/>
      <c r="E395" s="11"/>
      <c r="F395" s="11"/>
      <c r="G395" s="11"/>
      <c r="H395" s="11"/>
      <c r="I395" s="24"/>
      <c r="J395" s="24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</row>
    <row r="396" spans="1:23" x14ac:dyDescent="0.2">
      <c r="A396" s="23"/>
      <c r="B396" s="8"/>
      <c r="C396" s="11"/>
      <c r="D396" s="11"/>
      <c r="E396" s="11"/>
      <c r="F396" s="11"/>
      <c r="G396" s="11"/>
      <c r="H396" s="11"/>
      <c r="I396" s="24"/>
      <c r="J396" s="24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</row>
    <row r="397" spans="1:23" x14ac:dyDescent="0.2">
      <c r="A397" s="23"/>
      <c r="B397" s="8"/>
      <c r="C397" s="11"/>
      <c r="D397" s="11"/>
      <c r="E397" s="11"/>
      <c r="F397" s="11"/>
      <c r="G397" s="11"/>
      <c r="H397" s="11"/>
      <c r="I397" s="24"/>
      <c r="J397" s="24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</row>
    <row r="398" spans="1:23" x14ac:dyDescent="0.2">
      <c r="A398" s="23"/>
      <c r="B398" s="8"/>
      <c r="C398" s="11"/>
      <c r="D398" s="11"/>
      <c r="E398" s="11"/>
      <c r="F398" s="11"/>
      <c r="G398" s="11"/>
      <c r="H398" s="11"/>
      <c r="I398" s="24"/>
      <c r="J398" s="24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</row>
    <row r="399" spans="1:23" x14ac:dyDescent="0.2">
      <c r="A399" s="23"/>
      <c r="B399" s="8"/>
      <c r="C399" s="11"/>
      <c r="D399" s="11"/>
      <c r="E399" s="11"/>
      <c r="F399" s="11"/>
      <c r="G399" s="11"/>
      <c r="H399" s="11"/>
      <c r="I399" s="24"/>
      <c r="J399" s="24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</row>
    <row r="400" spans="1:23" x14ac:dyDescent="0.2">
      <c r="A400" s="23"/>
      <c r="B400" s="8"/>
      <c r="C400" s="11"/>
      <c r="D400" s="11"/>
      <c r="E400" s="11"/>
      <c r="F400" s="11"/>
      <c r="G400" s="11"/>
      <c r="H400" s="11"/>
      <c r="I400" s="24"/>
      <c r="J400" s="24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</row>
    <row r="401" spans="1:23" x14ac:dyDescent="0.2">
      <c r="A401" s="23"/>
      <c r="B401" s="8"/>
      <c r="C401" s="11"/>
      <c r="D401" s="11"/>
      <c r="E401" s="11"/>
      <c r="F401" s="11"/>
      <c r="G401" s="11"/>
      <c r="H401" s="11"/>
      <c r="I401" s="24"/>
      <c r="J401" s="24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</row>
    <row r="402" spans="1:23" x14ac:dyDescent="0.2">
      <c r="A402" s="23"/>
      <c r="B402" s="8"/>
      <c r="C402" s="11"/>
      <c r="D402" s="11"/>
      <c r="E402" s="11"/>
      <c r="F402" s="11"/>
      <c r="G402" s="11"/>
      <c r="H402" s="11"/>
      <c r="I402" s="24"/>
      <c r="J402" s="24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</row>
    <row r="403" spans="1:23" x14ac:dyDescent="0.2">
      <c r="A403" s="23"/>
      <c r="B403" s="8"/>
      <c r="C403" s="11"/>
      <c r="D403" s="11"/>
      <c r="E403" s="11"/>
      <c r="F403" s="11"/>
      <c r="G403" s="11"/>
      <c r="H403" s="11"/>
      <c r="I403" s="24"/>
      <c r="J403" s="24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</row>
    <row r="404" spans="1:23" x14ac:dyDescent="0.2">
      <c r="A404" s="23"/>
      <c r="B404" s="8"/>
      <c r="C404" s="11"/>
      <c r="D404" s="11"/>
      <c r="E404" s="11"/>
      <c r="F404" s="11"/>
      <c r="G404" s="11"/>
      <c r="H404" s="11"/>
      <c r="I404" s="24"/>
      <c r="J404" s="24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</row>
    <row r="405" spans="1:23" x14ac:dyDescent="0.2">
      <c r="A405" s="23"/>
      <c r="B405" s="8"/>
      <c r="C405" s="11"/>
      <c r="D405" s="11"/>
      <c r="E405" s="11"/>
      <c r="F405" s="11"/>
      <c r="G405" s="11"/>
      <c r="H405" s="11"/>
      <c r="I405" s="24"/>
      <c r="J405" s="24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</row>
    <row r="406" spans="1:23" x14ac:dyDescent="0.2">
      <c r="A406" s="23"/>
      <c r="B406" s="8"/>
      <c r="C406" s="11"/>
      <c r="D406" s="11"/>
      <c r="E406" s="11"/>
      <c r="F406" s="11"/>
      <c r="G406" s="11"/>
      <c r="H406" s="11"/>
      <c r="I406" s="24"/>
      <c r="J406" s="24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</row>
    <row r="407" spans="1:23" x14ac:dyDescent="0.2">
      <c r="A407" s="23"/>
      <c r="B407" s="8"/>
      <c r="C407" s="11"/>
      <c r="D407" s="11"/>
      <c r="E407" s="11"/>
      <c r="F407" s="11"/>
      <c r="G407" s="11"/>
      <c r="H407" s="11"/>
      <c r="I407" s="24"/>
      <c r="J407" s="24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</row>
    <row r="408" spans="1:23" x14ac:dyDescent="0.2">
      <c r="A408" s="23"/>
      <c r="B408" s="8"/>
      <c r="C408" s="11"/>
      <c r="D408" s="11"/>
      <c r="E408" s="11"/>
      <c r="F408" s="11"/>
      <c r="G408" s="11"/>
      <c r="H408" s="11"/>
      <c r="I408" s="24"/>
      <c r="J408" s="24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</row>
    <row r="409" spans="1:23" x14ac:dyDescent="0.2">
      <c r="A409" s="23"/>
      <c r="B409" s="8"/>
      <c r="C409" s="11"/>
      <c r="D409" s="11"/>
      <c r="E409" s="11"/>
      <c r="F409" s="11"/>
      <c r="G409" s="11"/>
      <c r="H409" s="11"/>
      <c r="I409" s="24"/>
      <c r="J409" s="24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</row>
    <row r="410" spans="1:23" x14ac:dyDescent="0.2">
      <c r="A410" s="23"/>
      <c r="B410" s="8"/>
      <c r="C410" s="11"/>
      <c r="D410" s="11"/>
      <c r="E410" s="11"/>
      <c r="F410" s="11"/>
      <c r="G410" s="11"/>
      <c r="H410" s="11"/>
      <c r="I410" s="24"/>
      <c r="J410" s="24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</row>
    <row r="411" spans="1:23" x14ac:dyDescent="0.2">
      <c r="A411" s="23"/>
      <c r="B411" s="8"/>
      <c r="C411" s="11"/>
      <c r="D411" s="11"/>
      <c r="E411" s="11"/>
      <c r="F411" s="11"/>
      <c r="G411" s="11"/>
      <c r="H411" s="11"/>
      <c r="I411" s="24"/>
      <c r="J411" s="24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</row>
    <row r="412" spans="1:23" x14ac:dyDescent="0.2">
      <c r="A412" s="23"/>
      <c r="B412" s="8"/>
      <c r="C412" s="11"/>
      <c r="D412" s="11"/>
      <c r="E412" s="11"/>
      <c r="F412" s="11"/>
      <c r="G412" s="11"/>
      <c r="H412" s="11"/>
      <c r="I412" s="24"/>
      <c r="J412" s="24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</row>
    <row r="413" spans="1:23" x14ac:dyDescent="0.2">
      <c r="A413" s="23"/>
      <c r="B413" s="8"/>
      <c r="C413" s="11"/>
      <c r="D413" s="11"/>
      <c r="E413" s="11"/>
      <c r="F413" s="11"/>
      <c r="G413" s="11"/>
      <c r="H413" s="11"/>
      <c r="I413" s="24"/>
      <c r="J413" s="24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</row>
    <row r="414" spans="1:23" x14ac:dyDescent="0.2">
      <c r="A414" s="23"/>
      <c r="B414" s="8"/>
      <c r="C414" s="11"/>
      <c r="D414" s="11"/>
      <c r="E414" s="11"/>
      <c r="F414" s="11"/>
      <c r="G414" s="11"/>
      <c r="H414" s="11"/>
      <c r="I414" s="24"/>
      <c r="J414" s="24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</row>
    <row r="415" spans="1:23" x14ac:dyDescent="0.2">
      <c r="A415" s="23"/>
      <c r="B415" s="8"/>
      <c r="C415" s="11"/>
      <c r="D415" s="11"/>
      <c r="E415" s="11"/>
      <c r="F415" s="11"/>
      <c r="G415" s="11"/>
      <c r="H415" s="11"/>
      <c r="I415" s="24"/>
      <c r="J415" s="24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</row>
    <row r="416" spans="1:23" x14ac:dyDescent="0.2">
      <c r="A416" s="23"/>
      <c r="B416" s="8"/>
      <c r="C416" s="11"/>
      <c r="D416" s="11"/>
      <c r="E416" s="11"/>
      <c r="F416" s="11"/>
      <c r="G416" s="11"/>
      <c r="H416" s="11"/>
      <c r="I416" s="24"/>
      <c r="J416" s="24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</row>
    <row r="417" spans="1:23" x14ac:dyDescent="0.2">
      <c r="A417" s="23"/>
      <c r="B417" s="8"/>
      <c r="C417" s="11"/>
      <c r="D417" s="11"/>
      <c r="E417" s="11"/>
      <c r="F417" s="11"/>
      <c r="G417" s="11"/>
      <c r="H417" s="11"/>
      <c r="I417" s="24"/>
      <c r="J417" s="24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</row>
    <row r="418" spans="1:23" x14ac:dyDescent="0.2">
      <c r="A418" s="23"/>
      <c r="B418" s="8"/>
      <c r="C418" s="11"/>
      <c r="D418" s="11"/>
      <c r="E418" s="11"/>
      <c r="F418" s="11"/>
      <c r="G418" s="11"/>
      <c r="H418" s="11"/>
      <c r="I418" s="24"/>
      <c r="J418" s="24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</row>
    <row r="419" spans="1:23" x14ac:dyDescent="0.2">
      <c r="A419" s="23"/>
      <c r="B419" s="8"/>
      <c r="C419" s="11"/>
      <c r="D419" s="11"/>
      <c r="E419" s="11"/>
      <c r="F419" s="11"/>
      <c r="G419" s="11"/>
      <c r="H419" s="11"/>
      <c r="I419" s="24"/>
      <c r="J419" s="24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</row>
    <row r="420" spans="1:23" x14ac:dyDescent="0.2">
      <c r="A420" s="23"/>
      <c r="B420" s="8"/>
      <c r="C420" s="11"/>
      <c r="D420" s="11"/>
      <c r="E420" s="11"/>
      <c r="F420" s="11"/>
      <c r="G420" s="11"/>
      <c r="H420" s="11"/>
      <c r="I420" s="24"/>
      <c r="J420" s="24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</row>
    <row r="421" spans="1:23" x14ac:dyDescent="0.2">
      <c r="A421" s="23"/>
      <c r="B421" s="8"/>
      <c r="C421" s="11"/>
      <c r="D421" s="11"/>
      <c r="E421" s="11"/>
      <c r="F421" s="11"/>
      <c r="G421" s="11"/>
      <c r="H421" s="11"/>
      <c r="I421" s="24"/>
      <c r="J421" s="24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</row>
    <row r="422" spans="1:23" x14ac:dyDescent="0.2">
      <c r="A422" s="23"/>
      <c r="B422" s="8"/>
      <c r="C422" s="11"/>
      <c r="D422" s="11"/>
      <c r="E422" s="11"/>
      <c r="F422" s="11"/>
      <c r="G422" s="11"/>
      <c r="H422" s="11"/>
      <c r="I422" s="24"/>
      <c r="J422" s="24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</row>
    <row r="423" spans="1:23" x14ac:dyDescent="0.2">
      <c r="A423" s="23"/>
      <c r="B423" s="8"/>
      <c r="C423" s="11"/>
      <c r="D423" s="11"/>
      <c r="E423" s="11"/>
      <c r="F423" s="11"/>
      <c r="G423" s="11"/>
      <c r="H423" s="11"/>
      <c r="I423" s="24"/>
      <c r="J423" s="24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</row>
    <row r="424" spans="1:23" x14ac:dyDescent="0.2">
      <c r="A424" s="23"/>
      <c r="B424" s="8"/>
      <c r="C424" s="11"/>
      <c r="D424" s="11"/>
      <c r="E424" s="11"/>
      <c r="F424" s="11"/>
      <c r="G424" s="11"/>
      <c r="H424" s="11"/>
      <c r="I424" s="24"/>
      <c r="J424" s="24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</row>
    <row r="425" spans="1:23" x14ac:dyDescent="0.2">
      <c r="A425" s="23"/>
      <c r="B425" s="8"/>
      <c r="C425" s="11"/>
      <c r="D425" s="11"/>
      <c r="E425" s="11"/>
      <c r="F425" s="11"/>
      <c r="G425" s="11"/>
      <c r="H425" s="11"/>
      <c r="I425" s="24"/>
      <c r="J425" s="24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</row>
    <row r="426" spans="1:23" x14ac:dyDescent="0.2">
      <c r="A426" s="23"/>
      <c r="B426" s="8"/>
      <c r="C426" s="11"/>
      <c r="D426" s="11"/>
      <c r="E426" s="11"/>
      <c r="F426" s="11"/>
      <c r="G426" s="11"/>
      <c r="H426" s="11"/>
      <c r="I426" s="24"/>
      <c r="J426" s="24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</row>
    <row r="427" spans="1:23" x14ac:dyDescent="0.2">
      <c r="A427" s="23"/>
      <c r="B427" s="8"/>
      <c r="C427" s="11"/>
      <c r="D427" s="11"/>
      <c r="E427" s="11"/>
      <c r="F427" s="11"/>
      <c r="G427" s="11"/>
      <c r="H427" s="11"/>
      <c r="I427" s="24"/>
      <c r="J427" s="24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</row>
    <row r="428" spans="1:23" x14ac:dyDescent="0.2">
      <c r="A428" s="23"/>
      <c r="B428" s="8"/>
      <c r="C428" s="11"/>
      <c r="D428" s="11"/>
      <c r="E428" s="11"/>
      <c r="F428" s="11"/>
      <c r="G428" s="11"/>
      <c r="H428" s="11"/>
      <c r="I428" s="24"/>
      <c r="J428" s="24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</row>
    <row r="429" spans="1:23" x14ac:dyDescent="0.2">
      <c r="A429" s="23"/>
      <c r="B429" s="8"/>
      <c r="C429" s="11"/>
      <c r="D429" s="11"/>
      <c r="E429" s="11"/>
      <c r="F429" s="11"/>
      <c r="G429" s="11"/>
      <c r="H429" s="11"/>
      <c r="I429" s="24"/>
      <c r="J429" s="24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</row>
    <row r="430" spans="1:23" x14ac:dyDescent="0.2">
      <c r="A430" s="23"/>
      <c r="B430" s="8"/>
      <c r="C430" s="11"/>
      <c r="D430" s="11"/>
      <c r="E430" s="11"/>
      <c r="F430" s="11"/>
      <c r="G430" s="11"/>
      <c r="H430" s="11"/>
      <c r="I430" s="24"/>
      <c r="J430" s="24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</row>
    <row r="431" spans="1:23" x14ac:dyDescent="0.2">
      <c r="A431" s="23"/>
      <c r="B431" s="8"/>
      <c r="C431" s="11"/>
      <c r="D431" s="11"/>
      <c r="E431" s="11"/>
      <c r="F431" s="11"/>
      <c r="G431" s="11"/>
      <c r="H431" s="11"/>
      <c r="I431" s="24"/>
      <c r="J431" s="24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</row>
    <row r="432" spans="1:23" x14ac:dyDescent="0.2">
      <c r="A432" s="23"/>
      <c r="B432" s="8"/>
      <c r="C432" s="11"/>
      <c r="D432" s="11"/>
      <c r="E432" s="11"/>
      <c r="F432" s="11"/>
      <c r="G432" s="11"/>
      <c r="H432" s="11"/>
      <c r="I432" s="24"/>
      <c r="J432" s="24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</row>
    <row r="433" spans="1:23" x14ac:dyDescent="0.2">
      <c r="A433" s="23"/>
      <c r="B433" s="8"/>
      <c r="C433" s="11"/>
      <c r="D433" s="11"/>
      <c r="E433" s="11"/>
      <c r="F433" s="11"/>
      <c r="G433" s="11"/>
      <c r="H433" s="11"/>
      <c r="I433" s="24"/>
      <c r="J433" s="24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</row>
    <row r="434" spans="1:23" x14ac:dyDescent="0.2">
      <c r="A434" s="23"/>
      <c r="B434" s="8"/>
      <c r="C434" s="11"/>
      <c r="D434" s="11"/>
      <c r="E434" s="11"/>
      <c r="F434" s="11"/>
      <c r="G434" s="11"/>
      <c r="H434" s="11"/>
      <c r="I434" s="24"/>
      <c r="J434" s="24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</row>
    <row r="435" spans="1:23" x14ac:dyDescent="0.2">
      <c r="A435" s="23"/>
      <c r="B435" s="8"/>
      <c r="C435" s="11"/>
      <c r="D435" s="11"/>
      <c r="E435" s="11"/>
      <c r="F435" s="11"/>
      <c r="G435" s="11"/>
      <c r="H435" s="11"/>
      <c r="I435" s="24"/>
      <c r="J435" s="24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</row>
    <row r="436" spans="1:23" x14ac:dyDescent="0.2">
      <c r="A436" s="23"/>
      <c r="B436" s="8"/>
      <c r="C436" s="11"/>
      <c r="D436" s="11"/>
      <c r="E436" s="11"/>
      <c r="F436" s="11"/>
      <c r="G436" s="11"/>
      <c r="H436" s="11"/>
      <c r="I436" s="24"/>
      <c r="J436" s="24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</row>
    <row r="437" spans="1:23" x14ac:dyDescent="0.2">
      <c r="A437" s="23"/>
      <c r="B437" s="8"/>
      <c r="C437" s="11"/>
      <c r="D437" s="11"/>
      <c r="E437" s="11"/>
      <c r="F437" s="11"/>
      <c r="G437" s="11"/>
      <c r="H437" s="11"/>
      <c r="I437" s="24"/>
      <c r="J437" s="24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</row>
    <row r="438" spans="1:23" x14ac:dyDescent="0.2">
      <c r="A438" s="23"/>
      <c r="B438" s="8"/>
      <c r="C438" s="11"/>
      <c r="D438" s="11"/>
      <c r="E438" s="11"/>
      <c r="F438" s="11"/>
      <c r="G438" s="11"/>
      <c r="H438" s="11"/>
      <c r="I438" s="24"/>
      <c r="J438" s="24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</row>
    <row r="439" spans="1:23" x14ac:dyDescent="0.2">
      <c r="A439" s="23"/>
      <c r="B439" s="8"/>
      <c r="C439" s="11"/>
      <c r="D439" s="11"/>
      <c r="E439" s="11"/>
      <c r="F439" s="11"/>
      <c r="G439" s="11"/>
      <c r="H439" s="11"/>
      <c r="I439" s="24"/>
      <c r="J439" s="24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</row>
    <row r="440" spans="1:23" x14ac:dyDescent="0.2">
      <c r="A440" s="23"/>
      <c r="B440" s="8"/>
      <c r="C440" s="11"/>
      <c r="D440" s="11"/>
      <c r="E440" s="11"/>
      <c r="F440" s="11"/>
      <c r="G440" s="11"/>
      <c r="H440" s="11"/>
      <c r="I440" s="24"/>
      <c r="J440" s="24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</row>
    <row r="441" spans="1:23" x14ac:dyDescent="0.2">
      <c r="A441" s="23"/>
      <c r="B441" s="8"/>
      <c r="C441" s="11"/>
      <c r="D441" s="11"/>
      <c r="E441" s="11"/>
      <c r="F441" s="11"/>
      <c r="G441" s="11"/>
      <c r="H441" s="11"/>
      <c r="I441" s="24"/>
      <c r="J441" s="24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</row>
    <row r="442" spans="1:23" x14ac:dyDescent="0.2">
      <c r="A442" s="23"/>
      <c r="B442" s="8"/>
      <c r="C442" s="11"/>
      <c r="D442" s="11"/>
      <c r="E442" s="11"/>
      <c r="F442" s="11"/>
      <c r="G442" s="11"/>
      <c r="H442" s="11"/>
      <c r="I442" s="24"/>
      <c r="J442" s="24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</row>
    <row r="443" spans="1:23" x14ac:dyDescent="0.2">
      <c r="A443" s="23"/>
      <c r="B443" s="8"/>
      <c r="C443" s="11"/>
      <c r="D443" s="11"/>
      <c r="E443" s="11"/>
      <c r="F443" s="11"/>
      <c r="G443" s="11"/>
      <c r="H443" s="11"/>
      <c r="I443" s="24"/>
      <c r="J443" s="24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</row>
    <row r="444" spans="1:23" x14ac:dyDescent="0.2">
      <c r="A444" s="23"/>
      <c r="B444" s="8"/>
      <c r="C444" s="11"/>
      <c r="D444" s="11"/>
      <c r="E444" s="11"/>
      <c r="F444" s="11"/>
      <c r="G444" s="11"/>
      <c r="H444" s="11"/>
      <c r="I444" s="24"/>
      <c r="J444" s="24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</row>
    <row r="445" spans="1:23" x14ac:dyDescent="0.2">
      <c r="A445" s="23"/>
      <c r="B445" s="8"/>
      <c r="C445" s="11"/>
      <c r="D445" s="11"/>
      <c r="E445" s="11"/>
      <c r="F445" s="11"/>
      <c r="G445" s="11"/>
      <c r="H445" s="11"/>
      <c r="I445" s="24"/>
      <c r="J445" s="24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</row>
    <row r="446" spans="1:23" x14ac:dyDescent="0.2">
      <c r="A446" s="23"/>
      <c r="B446" s="8"/>
      <c r="C446" s="11"/>
      <c r="D446" s="11"/>
      <c r="E446" s="11"/>
      <c r="F446" s="11"/>
      <c r="G446" s="11"/>
      <c r="H446" s="11"/>
      <c r="I446" s="24"/>
      <c r="J446" s="24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</row>
    <row r="447" spans="1:23" x14ac:dyDescent="0.2">
      <c r="A447" s="23"/>
      <c r="B447" s="8"/>
      <c r="C447" s="11"/>
      <c r="D447" s="11"/>
      <c r="E447" s="11"/>
      <c r="F447" s="11"/>
      <c r="G447" s="11"/>
      <c r="H447" s="11"/>
      <c r="I447" s="24"/>
      <c r="J447" s="24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</row>
    <row r="448" spans="1:23" x14ac:dyDescent="0.2">
      <c r="A448" s="23"/>
      <c r="B448" s="8"/>
      <c r="C448" s="11"/>
      <c r="D448" s="11"/>
      <c r="E448" s="11"/>
      <c r="F448" s="11"/>
      <c r="G448" s="11"/>
      <c r="H448" s="11"/>
      <c r="I448" s="24"/>
      <c r="J448" s="24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</row>
    <row r="449" spans="1:23" x14ac:dyDescent="0.2">
      <c r="A449" s="23"/>
      <c r="B449" s="8"/>
      <c r="C449" s="11"/>
      <c r="D449" s="11"/>
      <c r="E449" s="11"/>
      <c r="F449" s="11"/>
      <c r="G449" s="11"/>
      <c r="H449" s="11"/>
      <c r="I449" s="24"/>
      <c r="J449" s="24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</row>
    <row r="450" spans="1:23" x14ac:dyDescent="0.2">
      <c r="A450" s="23"/>
      <c r="B450" s="8"/>
      <c r="C450" s="11"/>
      <c r="D450" s="11"/>
      <c r="E450" s="11"/>
      <c r="F450" s="11"/>
      <c r="G450" s="11"/>
      <c r="H450" s="11"/>
      <c r="I450" s="24"/>
      <c r="J450" s="24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</row>
    <row r="451" spans="1:23" x14ac:dyDescent="0.2">
      <c r="A451" s="23"/>
      <c r="B451" s="8"/>
      <c r="C451" s="11"/>
      <c r="D451" s="11"/>
      <c r="E451" s="11"/>
      <c r="F451" s="11"/>
      <c r="G451" s="11"/>
      <c r="H451" s="11"/>
      <c r="I451" s="24"/>
      <c r="J451" s="24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</row>
    <row r="452" spans="1:23" x14ac:dyDescent="0.2">
      <c r="A452" s="23"/>
      <c r="B452" s="8"/>
      <c r="C452" s="11"/>
      <c r="D452" s="11"/>
      <c r="E452" s="11"/>
      <c r="F452" s="11"/>
      <c r="G452" s="11"/>
      <c r="H452" s="11"/>
      <c r="I452" s="24"/>
      <c r="J452" s="24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</row>
    <row r="453" spans="1:23" x14ac:dyDescent="0.2">
      <c r="A453" s="23"/>
      <c r="B453" s="8"/>
      <c r="C453" s="11"/>
      <c r="D453" s="11"/>
      <c r="E453" s="11"/>
      <c r="F453" s="11"/>
      <c r="G453" s="11"/>
      <c r="H453" s="11"/>
      <c r="I453" s="24"/>
      <c r="J453" s="24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</row>
    <row r="454" spans="1:23" x14ac:dyDescent="0.2">
      <c r="A454" s="23"/>
      <c r="B454" s="8"/>
      <c r="C454" s="11"/>
      <c r="D454" s="11"/>
      <c r="E454" s="11"/>
      <c r="F454" s="11"/>
      <c r="G454" s="11"/>
      <c r="H454" s="11"/>
      <c r="I454" s="24"/>
      <c r="J454" s="24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</row>
    <row r="455" spans="1:23" x14ac:dyDescent="0.2">
      <c r="A455" s="23"/>
      <c r="B455" s="8"/>
      <c r="C455" s="11"/>
      <c r="D455" s="11"/>
      <c r="E455" s="11"/>
      <c r="F455" s="11"/>
      <c r="G455" s="11"/>
      <c r="H455" s="11"/>
      <c r="I455" s="24"/>
      <c r="J455" s="24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</row>
    <row r="456" spans="1:23" x14ac:dyDescent="0.2">
      <c r="A456" s="23"/>
      <c r="B456" s="8"/>
      <c r="C456" s="11"/>
      <c r="D456" s="11"/>
      <c r="E456" s="11"/>
      <c r="F456" s="11"/>
      <c r="G456" s="11"/>
      <c r="H456" s="11"/>
      <c r="I456" s="24"/>
      <c r="J456" s="24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</row>
    <row r="457" spans="1:23" x14ac:dyDescent="0.2">
      <c r="A457" s="23"/>
      <c r="B457" s="8"/>
      <c r="C457" s="11"/>
      <c r="D457" s="11"/>
      <c r="E457" s="11"/>
      <c r="F457" s="11"/>
      <c r="G457" s="11"/>
      <c r="H457" s="11"/>
      <c r="I457" s="24"/>
      <c r="J457" s="24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</row>
    <row r="458" spans="1:23" x14ac:dyDescent="0.2">
      <c r="A458" s="23"/>
      <c r="B458" s="8"/>
      <c r="C458" s="11"/>
      <c r="D458" s="11"/>
      <c r="E458" s="11"/>
      <c r="F458" s="11"/>
      <c r="G458" s="11"/>
      <c r="H458" s="11"/>
      <c r="I458" s="24"/>
      <c r="J458" s="24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</row>
    <row r="459" spans="1:23" x14ac:dyDescent="0.2">
      <c r="A459" s="23"/>
      <c r="B459" s="8"/>
      <c r="C459" s="11"/>
      <c r="D459" s="11"/>
      <c r="E459" s="11"/>
      <c r="F459" s="11"/>
      <c r="G459" s="11"/>
      <c r="H459" s="11"/>
      <c r="I459" s="24"/>
      <c r="J459" s="24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</row>
    <row r="460" spans="1:23" x14ac:dyDescent="0.2">
      <c r="A460" s="23"/>
      <c r="B460" s="8"/>
      <c r="C460" s="11"/>
      <c r="D460" s="11"/>
      <c r="E460" s="11"/>
      <c r="F460" s="11"/>
      <c r="G460" s="11"/>
      <c r="H460" s="11"/>
      <c r="I460" s="24"/>
      <c r="J460" s="24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</row>
    <row r="461" spans="1:23" x14ac:dyDescent="0.2">
      <c r="A461" s="23"/>
      <c r="B461" s="8"/>
      <c r="C461" s="11"/>
      <c r="D461" s="11"/>
      <c r="E461" s="11"/>
      <c r="F461" s="11"/>
      <c r="G461" s="11"/>
      <c r="H461" s="11"/>
      <c r="I461" s="24"/>
      <c r="J461" s="24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</row>
    <row r="462" spans="1:23" x14ac:dyDescent="0.2">
      <c r="A462" s="23"/>
      <c r="B462" s="8"/>
      <c r="C462" s="11"/>
      <c r="D462" s="11"/>
      <c r="E462" s="11"/>
      <c r="F462" s="11"/>
      <c r="G462" s="11"/>
      <c r="H462" s="11"/>
      <c r="I462" s="24"/>
      <c r="J462" s="24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</row>
    <row r="463" spans="1:23" x14ac:dyDescent="0.2">
      <c r="A463" s="23"/>
      <c r="B463" s="8"/>
      <c r="C463" s="11"/>
      <c r="D463" s="11"/>
      <c r="E463" s="11"/>
      <c r="F463" s="11"/>
      <c r="G463" s="11"/>
      <c r="H463" s="11"/>
      <c r="I463" s="24"/>
      <c r="J463" s="24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</row>
    <row r="464" spans="1:23" x14ac:dyDescent="0.2">
      <c r="A464" s="23"/>
      <c r="B464" s="8"/>
      <c r="C464" s="11"/>
      <c r="D464" s="11"/>
      <c r="E464" s="11"/>
      <c r="F464" s="11"/>
      <c r="G464" s="11"/>
      <c r="H464" s="11"/>
      <c r="I464" s="24"/>
      <c r="J464" s="24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</row>
    <row r="465" spans="1:23" x14ac:dyDescent="0.2">
      <c r="A465" s="23"/>
      <c r="B465" s="8"/>
      <c r="C465" s="11"/>
      <c r="D465" s="11"/>
      <c r="E465" s="11"/>
      <c r="F465" s="11"/>
      <c r="G465" s="11"/>
      <c r="H465" s="11"/>
      <c r="I465" s="24"/>
      <c r="J465" s="24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</row>
    <row r="466" spans="1:23" x14ac:dyDescent="0.2">
      <c r="A466" s="23"/>
      <c r="B466" s="8"/>
      <c r="C466" s="11"/>
      <c r="D466" s="11"/>
      <c r="E466" s="11"/>
      <c r="F466" s="11"/>
      <c r="G466" s="11"/>
      <c r="H466" s="11"/>
      <c r="I466" s="24"/>
      <c r="J466" s="24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</row>
    <row r="467" spans="1:23" x14ac:dyDescent="0.2">
      <c r="A467" s="23"/>
      <c r="B467" s="8"/>
      <c r="C467" s="11"/>
      <c r="D467" s="11"/>
      <c r="E467" s="11"/>
      <c r="F467" s="11"/>
      <c r="G467" s="11"/>
      <c r="H467" s="11"/>
      <c r="I467" s="24"/>
      <c r="J467" s="24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</row>
    <row r="468" spans="1:23" x14ac:dyDescent="0.2">
      <c r="A468" s="23"/>
      <c r="B468" s="8"/>
      <c r="C468" s="11"/>
      <c r="D468" s="11"/>
      <c r="E468" s="11"/>
      <c r="F468" s="11"/>
      <c r="G468" s="11"/>
      <c r="H468" s="11"/>
      <c r="I468" s="24"/>
      <c r="J468" s="24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</row>
    <row r="469" spans="1:23" x14ac:dyDescent="0.2">
      <c r="A469" s="23"/>
      <c r="B469" s="8"/>
      <c r="C469" s="11"/>
      <c r="D469" s="11"/>
      <c r="E469" s="11"/>
      <c r="F469" s="11"/>
      <c r="G469" s="11"/>
      <c r="H469" s="11"/>
      <c r="I469" s="24"/>
      <c r="J469" s="24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</row>
    <row r="470" spans="1:23" x14ac:dyDescent="0.2">
      <c r="A470" s="23"/>
      <c r="B470" s="8"/>
      <c r="C470" s="11"/>
      <c r="D470" s="11"/>
      <c r="E470" s="11"/>
      <c r="F470" s="11"/>
      <c r="G470" s="11"/>
      <c r="H470" s="11"/>
      <c r="I470" s="24"/>
      <c r="J470" s="24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</row>
    <row r="471" spans="1:23" x14ac:dyDescent="0.2">
      <c r="A471" s="23"/>
      <c r="B471" s="8"/>
      <c r="C471" s="11"/>
      <c r="D471" s="11"/>
      <c r="E471" s="11"/>
      <c r="F471" s="11"/>
      <c r="G471" s="11"/>
      <c r="H471" s="11"/>
      <c r="I471" s="24"/>
      <c r="J471" s="24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</row>
    <row r="472" spans="1:23" x14ac:dyDescent="0.2">
      <c r="A472" s="23"/>
      <c r="B472" s="8"/>
      <c r="C472" s="11"/>
      <c r="D472" s="11"/>
      <c r="E472" s="11"/>
      <c r="F472" s="11"/>
      <c r="G472" s="11"/>
      <c r="H472" s="11"/>
      <c r="I472" s="24"/>
      <c r="J472" s="24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</row>
    <row r="473" spans="1:23" x14ac:dyDescent="0.2">
      <c r="A473" s="23"/>
      <c r="B473" s="8"/>
      <c r="C473" s="11"/>
      <c r="D473" s="11"/>
      <c r="E473" s="11"/>
      <c r="F473" s="11"/>
      <c r="G473" s="11"/>
      <c r="H473" s="11"/>
      <c r="I473" s="24"/>
      <c r="J473" s="24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</row>
    <row r="474" spans="1:23" x14ac:dyDescent="0.2">
      <c r="A474" s="23"/>
      <c r="B474" s="8"/>
      <c r="C474" s="11"/>
      <c r="D474" s="11"/>
      <c r="E474" s="11"/>
      <c r="F474" s="11"/>
      <c r="G474" s="11"/>
      <c r="H474" s="11"/>
      <c r="I474" s="24"/>
      <c r="J474" s="24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</row>
    <row r="475" spans="1:23" x14ac:dyDescent="0.2">
      <c r="A475" s="23"/>
      <c r="B475" s="8"/>
      <c r="C475" s="11"/>
      <c r="D475" s="11"/>
      <c r="E475" s="11"/>
      <c r="F475" s="11"/>
      <c r="G475" s="11"/>
      <c r="H475" s="11"/>
      <c r="I475" s="24"/>
      <c r="J475" s="24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</row>
    <row r="476" spans="1:23" x14ac:dyDescent="0.2">
      <c r="A476" s="23"/>
      <c r="B476" s="8"/>
      <c r="C476" s="11"/>
      <c r="D476" s="11"/>
      <c r="E476" s="11"/>
      <c r="F476" s="11"/>
      <c r="G476" s="11"/>
      <c r="H476" s="11"/>
      <c r="I476" s="24"/>
      <c r="J476" s="24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</row>
    <row r="477" spans="1:23" x14ac:dyDescent="0.2">
      <c r="A477" s="23"/>
      <c r="B477" s="8"/>
      <c r="C477" s="11"/>
      <c r="D477" s="11"/>
      <c r="E477" s="11"/>
      <c r="F477" s="11"/>
      <c r="G477" s="11"/>
      <c r="H477" s="11"/>
      <c r="I477" s="24"/>
      <c r="J477" s="24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</row>
    <row r="478" spans="1:23" x14ac:dyDescent="0.2">
      <c r="A478" s="23"/>
      <c r="B478" s="8"/>
      <c r="C478" s="11"/>
      <c r="D478" s="11"/>
      <c r="E478" s="11"/>
      <c r="F478" s="11"/>
      <c r="G478" s="11"/>
      <c r="H478" s="11"/>
      <c r="I478" s="24"/>
      <c r="J478" s="24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</row>
    <row r="479" spans="1:23" x14ac:dyDescent="0.2">
      <c r="A479" s="23"/>
      <c r="B479" s="8"/>
      <c r="C479" s="11"/>
      <c r="D479" s="11"/>
      <c r="E479" s="11"/>
      <c r="F479" s="11"/>
      <c r="G479" s="11"/>
      <c r="H479" s="11"/>
      <c r="I479" s="24"/>
      <c r="J479" s="24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</row>
    <row r="480" spans="1:23" x14ac:dyDescent="0.2">
      <c r="A480" s="23"/>
      <c r="B480" s="8"/>
      <c r="C480" s="11"/>
      <c r="D480" s="11"/>
      <c r="E480" s="11"/>
      <c r="F480" s="11"/>
      <c r="G480" s="11"/>
      <c r="H480" s="11"/>
      <c r="I480" s="24"/>
      <c r="J480" s="24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</row>
    <row r="481" spans="1:23" x14ac:dyDescent="0.2">
      <c r="A481" s="23"/>
      <c r="B481" s="8"/>
      <c r="C481" s="11"/>
      <c r="D481" s="11"/>
      <c r="E481" s="11"/>
      <c r="F481" s="11"/>
      <c r="G481" s="11"/>
      <c r="H481" s="11"/>
      <c r="I481" s="24"/>
      <c r="J481" s="24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</row>
    <row r="482" spans="1:23" x14ac:dyDescent="0.2">
      <c r="A482" s="23"/>
      <c r="B482" s="8"/>
      <c r="C482" s="11"/>
      <c r="D482" s="11"/>
      <c r="E482" s="11"/>
      <c r="F482" s="11"/>
      <c r="G482" s="11"/>
      <c r="H482" s="11"/>
      <c r="I482" s="24"/>
      <c r="J482" s="24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</row>
    <row r="483" spans="1:23" x14ac:dyDescent="0.2">
      <c r="A483" s="23"/>
      <c r="B483" s="8"/>
      <c r="C483" s="11"/>
      <c r="D483" s="11"/>
      <c r="E483" s="11"/>
      <c r="F483" s="11"/>
      <c r="G483" s="11"/>
      <c r="H483" s="11"/>
      <c r="I483" s="24"/>
      <c r="J483" s="24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</row>
    <row r="484" spans="1:23" x14ac:dyDescent="0.2">
      <c r="A484" s="23"/>
      <c r="B484" s="8"/>
      <c r="C484" s="11"/>
      <c r="D484" s="11"/>
      <c r="E484" s="11"/>
      <c r="F484" s="11"/>
      <c r="G484" s="11"/>
      <c r="H484" s="11"/>
      <c r="I484" s="24"/>
      <c r="J484" s="24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</row>
    <row r="485" spans="1:23" x14ac:dyDescent="0.2">
      <c r="A485" s="23"/>
      <c r="B485" s="8"/>
      <c r="C485" s="11"/>
      <c r="D485" s="11"/>
      <c r="E485" s="11"/>
      <c r="F485" s="11"/>
      <c r="G485" s="11"/>
      <c r="H485" s="11"/>
      <c r="I485" s="24"/>
      <c r="J485" s="24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</row>
    <row r="486" spans="1:23" x14ac:dyDescent="0.2">
      <c r="A486" s="23"/>
      <c r="B486" s="8"/>
      <c r="C486" s="11"/>
      <c r="D486" s="11"/>
      <c r="E486" s="11"/>
      <c r="F486" s="11"/>
      <c r="G486" s="11"/>
      <c r="H486" s="11"/>
      <c r="I486" s="24"/>
      <c r="J486" s="24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</row>
    <row r="487" spans="1:23" x14ac:dyDescent="0.2">
      <c r="A487" s="23"/>
      <c r="B487" s="8"/>
      <c r="C487" s="11"/>
      <c r="D487" s="11"/>
      <c r="E487" s="11"/>
      <c r="F487" s="11"/>
      <c r="G487" s="11"/>
      <c r="H487" s="11"/>
      <c r="I487" s="24"/>
      <c r="J487" s="24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</row>
    <row r="488" spans="1:23" x14ac:dyDescent="0.2">
      <c r="A488" s="23"/>
      <c r="B488" s="8"/>
      <c r="C488" s="11"/>
      <c r="D488" s="11"/>
      <c r="E488" s="11"/>
      <c r="F488" s="11"/>
      <c r="G488" s="11"/>
      <c r="H488" s="11"/>
      <c r="I488" s="24"/>
      <c r="J488" s="24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</row>
    <row r="489" spans="1:23" x14ac:dyDescent="0.2">
      <c r="A489" s="23"/>
      <c r="B489" s="8"/>
      <c r="C489" s="11"/>
      <c r="D489" s="11"/>
      <c r="E489" s="11"/>
      <c r="F489" s="11"/>
      <c r="G489" s="11"/>
      <c r="H489" s="11"/>
      <c r="I489" s="24"/>
      <c r="J489" s="24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</row>
    <row r="490" spans="1:23" x14ac:dyDescent="0.2">
      <c r="A490" s="23"/>
      <c r="B490" s="8"/>
      <c r="C490" s="11"/>
      <c r="D490" s="11"/>
      <c r="E490" s="11"/>
      <c r="F490" s="11"/>
      <c r="G490" s="11"/>
      <c r="H490" s="11"/>
      <c r="I490" s="24"/>
      <c r="J490" s="24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</row>
    <row r="491" spans="1:23" x14ac:dyDescent="0.2">
      <c r="A491" s="23"/>
      <c r="B491" s="8"/>
      <c r="C491" s="11"/>
      <c r="D491" s="11"/>
      <c r="E491" s="11"/>
      <c r="F491" s="11"/>
      <c r="G491" s="11"/>
      <c r="H491" s="11"/>
      <c r="I491" s="24"/>
      <c r="J491" s="24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</row>
    <row r="492" spans="1:23" x14ac:dyDescent="0.2">
      <c r="A492" s="23"/>
      <c r="B492" s="8"/>
      <c r="C492" s="11"/>
      <c r="D492" s="11"/>
      <c r="E492" s="11"/>
      <c r="F492" s="11"/>
      <c r="G492" s="11"/>
      <c r="H492" s="11"/>
      <c r="I492" s="24"/>
      <c r="J492" s="24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</row>
    <row r="493" spans="1:23" x14ac:dyDescent="0.2">
      <c r="A493" s="23"/>
      <c r="B493" s="8"/>
      <c r="C493" s="11"/>
      <c r="D493" s="11"/>
      <c r="E493" s="11"/>
      <c r="F493" s="11"/>
      <c r="G493" s="11"/>
      <c r="H493" s="11"/>
      <c r="I493" s="24"/>
      <c r="J493" s="24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</row>
    <row r="494" spans="1:23" x14ac:dyDescent="0.2">
      <c r="A494" s="23"/>
      <c r="B494" s="8"/>
      <c r="C494" s="11"/>
      <c r="D494" s="11"/>
      <c r="E494" s="11"/>
      <c r="F494" s="11"/>
      <c r="G494" s="11"/>
      <c r="H494" s="11"/>
      <c r="I494" s="24"/>
      <c r="J494" s="24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</row>
    <row r="495" spans="1:23" x14ac:dyDescent="0.2">
      <c r="A495" s="23"/>
      <c r="B495" s="8"/>
      <c r="C495" s="11"/>
      <c r="D495" s="11"/>
      <c r="E495" s="11"/>
      <c r="F495" s="11"/>
      <c r="G495" s="11"/>
      <c r="H495" s="11"/>
      <c r="I495" s="24"/>
      <c r="J495" s="24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</row>
    <row r="496" spans="1:23" x14ac:dyDescent="0.2">
      <c r="A496" s="23"/>
      <c r="B496" s="8"/>
      <c r="C496" s="11"/>
      <c r="D496" s="11"/>
      <c r="E496" s="11"/>
      <c r="F496" s="11"/>
      <c r="G496" s="11"/>
      <c r="H496" s="11"/>
      <c r="I496" s="24"/>
      <c r="J496" s="24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</row>
    <row r="497" spans="1:23" x14ac:dyDescent="0.2">
      <c r="A497" s="23"/>
      <c r="B497" s="8"/>
      <c r="C497" s="11"/>
      <c r="D497" s="11"/>
      <c r="E497" s="11"/>
      <c r="F497" s="11"/>
      <c r="G497" s="11"/>
      <c r="H497" s="11"/>
      <c r="I497" s="24"/>
      <c r="J497" s="24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</row>
    <row r="498" spans="1:23" x14ac:dyDescent="0.2">
      <c r="A498" s="23"/>
      <c r="B498" s="8"/>
      <c r="C498" s="11"/>
      <c r="D498" s="11"/>
      <c r="E498" s="11"/>
      <c r="F498" s="11"/>
      <c r="G498" s="11"/>
      <c r="H498" s="11"/>
      <c r="I498" s="24"/>
      <c r="J498" s="24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</row>
    <row r="499" spans="1:23" x14ac:dyDescent="0.2">
      <c r="A499" s="23"/>
      <c r="B499" s="8"/>
      <c r="C499" s="11"/>
      <c r="D499" s="11"/>
      <c r="E499" s="11"/>
      <c r="F499" s="11"/>
      <c r="G499" s="11"/>
      <c r="H499" s="11"/>
      <c r="I499" s="24"/>
      <c r="J499" s="24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</row>
    <row r="500" spans="1:23" x14ac:dyDescent="0.2">
      <c r="A500" s="23"/>
      <c r="B500" s="8"/>
      <c r="C500" s="11"/>
      <c r="D500" s="11"/>
      <c r="E500" s="11"/>
      <c r="F500" s="11"/>
      <c r="G500" s="11"/>
      <c r="H500" s="11"/>
      <c r="I500" s="24"/>
      <c r="J500" s="24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</row>
    <row r="501" spans="1:23" x14ac:dyDescent="0.2">
      <c r="A501" s="23"/>
      <c r="B501" s="8"/>
      <c r="C501" s="11"/>
      <c r="D501" s="11"/>
      <c r="E501" s="11"/>
      <c r="F501" s="11"/>
      <c r="G501" s="11"/>
      <c r="H501" s="11"/>
      <c r="I501" s="24"/>
      <c r="J501" s="24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</row>
    <row r="502" spans="1:23" x14ac:dyDescent="0.2">
      <c r="A502" s="23"/>
      <c r="B502" s="8"/>
      <c r="C502" s="11"/>
      <c r="D502" s="11"/>
      <c r="E502" s="11"/>
      <c r="F502" s="11"/>
      <c r="G502" s="11"/>
      <c r="H502" s="11"/>
      <c r="I502" s="24"/>
      <c r="J502" s="24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</row>
    <row r="503" spans="1:23" x14ac:dyDescent="0.2">
      <c r="A503" s="23"/>
      <c r="B503" s="8"/>
      <c r="C503" s="11"/>
      <c r="D503" s="11"/>
      <c r="E503" s="11"/>
      <c r="F503" s="11"/>
      <c r="G503" s="11"/>
      <c r="H503" s="11"/>
      <c r="I503" s="24"/>
      <c r="J503" s="24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</row>
    <row r="504" spans="1:23" x14ac:dyDescent="0.2">
      <c r="A504" s="23"/>
      <c r="B504" s="8"/>
      <c r="C504" s="11"/>
      <c r="D504" s="11"/>
      <c r="E504" s="11"/>
      <c r="F504" s="11"/>
      <c r="G504" s="11"/>
      <c r="H504" s="11"/>
      <c r="I504" s="24"/>
      <c r="J504" s="24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</row>
    <row r="505" spans="1:23" x14ac:dyDescent="0.2">
      <c r="A505" s="23"/>
      <c r="B505" s="8"/>
      <c r="C505" s="11"/>
      <c r="D505" s="11"/>
      <c r="E505" s="11"/>
      <c r="F505" s="11"/>
      <c r="G505" s="11"/>
      <c r="H505" s="11"/>
      <c r="I505" s="24"/>
      <c r="J505" s="24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</row>
    <row r="506" spans="1:23" x14ac:dyDescent="0.2">
      <c r="A506" s="23"/>
      <c r="B506" s="8"/>
      <c r="C506" s="11"/>
      <c r="D506" s="11"/>
      <c r="E506" s="11"/>
      <c r="F506" s="11"/>
      <c r="G506" s="11"/>
      <c r="H506" s="11"/>
      <c r="I506" s="24"/>
      <c r="J506" s="24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</row>
    <row r="507" spans="1:23" x14ac:dyDescent="0.2">
      <c r="A507" s="23"/>
      <c r="B507" s="8"/>
      <c r="C507" s="11"/>
      <c r="D507" s="11"/>
      <c r="E507" s="11"/>
      <c r="F507" s="11"/>
      <c r="G507" s="11"/>
      <c r="H507" s="11"/>
      <c r="I507" s="24"/>
      <c r="J507" s="24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</row>
    <row r="508" spans="1:23" x14ac:dyDescent="0.2">
      <c r="A508" s="23"/>
      <c r="B508" s="8"/>
      <c r="C508" s="11"/>
      <c r="D508" s="11"/>
      <c r="E508" s="11"/>
      <c r="F508" s="11"/>
      <c r="G508" s="11"/>
      <c r="H508" s="11"/>
      <c r="I508" s="24"/>
      <c r="J508" s="24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</row>
    <row r="509" spans="1:23" x14ac:dyDescent="0.2">
      <c r="A509" s="23"/>
      <c r="B509" s="8"/>
      <c r="C509" s="11"/>
      <c r="D509" s="11"/>
      <c r="E509" s="11"/>
      <c r="F509" s="11"/>
      <c r="G509" s="11"/>
      <c r="H509" s="11"/>
      <c r="I509" s="24"/>
      <c r="J509" s="24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</row>
    <row r="510" spans="1:23" x14ac:dyDescent="0.2">
      <c r="A510" s="23"/>
      <c r="B510" s="8"/>
      <c r="C510" s="11"/>
      <c r="D510" s="11"/>
      <c r="E510" s="11"/>
      <c r="F510" s="11"/>
      <c r="G510" s="11"/>
      <c r="H510" s="11"/>
      <c r="I510" s="24"/>
      <c r="J510" s="24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</row>
    <row r="511" spans="1:23" x14ac:dyDescent="0.2">
      <c r="A511" s="23"/>
      <c r="B511" s="8"/>
      <c r="C511" s="11"/>
      <c r="D511" s="11"/>
      <c r="E511" s="11"/>
      <c r="F511" s="11"/>
      <c r="G511" s="11"/>
      <c r="H511" s="11"/>
      <c r="I511" s="24"/>
      <c r="J511" s="24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</row>
    <row r="512" spans="1:23" x14ac:dyDescent="0.2">
      <c r="A512" s="23"/>
      <c r="B512" s="8"/>
      <c r="C512" s="11"/>
      <c r="D512" s="11"/>
      <c r="E512" s="11"/>
      <c r="F512" s="11"/>
      <c r="G512" s="11"/>
      <c r="H512" s="11"/>
      <c r="I512" s="24"/>
      <c r="J512" s="24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</row>
    <row r="513" spans="1:23" x14ac:dyDescent="0.2">
      <c r="A513" s="23"/>
      <c r="B513" s="8"/>
      <c r="C513" s="11"/>
      <c r="D513" s="11"/>
      <c r="E513" s="11"/>
      <c r="F513" s="11"/>
      <c r="G513" s="11"/>
      <c r="H513" s="11"/>
      <c r="I513" s="24"/>
      <c r="J513" s="24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</row>
    <row r="514" spans="1:23" x14ac:dyDescent="0.2">
      <c r="A514" s="23"/>
      <c r="B514" s="8"/>
      <c r="C514" s="11"/>
      <c r="D514" s="11"/>
      <c r="E514" s="11"/>
      <c r="F514" s="11"/>
      <c r="G514" s="11"/>
      <c r="H514" s="11"/>
      <c r="I514" s="24"/>
      <c r="J514" s="24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</row>
    <row r="515" spans="1:23" x14ac:dyDescent="0.2">
      <c r="A515" s="23"/>
      <c r="B515" s="8"/>
      <c r="C515" s="11"/>
      <c r="D515" s="11"/>
      <c r="E515" s="11"/>
      <c r="F515" s="11"/>
      <c r="G515" s="11"/>
      <c r="H515" s="11"/>
      <c r="I515" s="24"/>
      <c r="J515" s="24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</row>
    <row r="516" spans="1:23" x14ac:dyDescent="0.2">
      <c r="A516" s="23"/>
      <c r="B516" s="8"/>
      <c r="C516" s="11"/>
      <c r="D516" s="11"/>
      <c r="E516" s="11"/>
      <c r="F516" s="11"/>
      <c r="G516" s="11"/>
      <c r="H516" s="11"/>
      <c r="I516" s="24"/>
      <c r="J516" s="24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</row>
    <row r="517" spans="1:23" x14ac:dyDescent="0.2">
      <c r="A517" s="23"/>
      <c r="B517" s="8"/>
      <c r="C517" s="11"/>
      <c r="D517" s="11"/>
      <c r="E517" s="11"/>
      <c r="F517" s="11"/>
      <c r="G517" s="11"/>
      <c r="H517" s="11"/>
      <c r="I517" s="24"/>
      <c r="J517" s="24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</row>
    <row r="518" spans="1:23" x14ac:dyDescent="0.2">
      <c r="A518" s="23"/>
      <c r="B518" s="8"/>
      <c r="C518" s="11"/>
      <c r="D518" s="11"/>
      <c r="E518" s="11"/>
      <c r="F518" s="11"/>
      <c r="G518" s="11"/>
      <c r="H518" s="11"/>
      <c r="I518" s="24"/>
      <c r="J518" s="24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</row>
    <row r="519" spans="1:23" x14ac:dyDescent="0.2">
      <c r="A519" s="23"/>
      <c r="B519" s="8"/>
      <c r="C519" s="11"/>
      <c r="D519" s="11"/>
      <c r="E519" s="11"/>
      <c r="F519" s="11"/>
      <c r="G519" s="11"/>
      <c r="H519" s="11"/>
      <c r="I519" s="24"/>
      <c r="J519" s="24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</row>
    <row r="520" spans="1:23" x14ac:dyDescent="0.2">
      <c r="A520" s="23"/>
      <c r="B520" s="8"/>
      <c r="C520" s="11"/>
      <c r="D520" s="11"/>
      <c r="E520" s="11"/>
      <c r="F520" s="11"/>
      <c r="G520" s="11"/>
      <c r="H520" s="11"/>
      <c r="I520" s="24"/>
      <c r="J520" s="24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</row>
    <row r="521" spans="1:23" x14ac:dyDescent="0.2">
      <c r="A521" s="23"/>
      <c r="B521" s="8"/>
      <c r="C521" s="11"/>
      <c r="D521" s="11"/>
      <c r="E521" s="11"/>
      <c r="F521" s="11"/>
      <c r="G521" s="11"/>
      <c r="H521" s="11"/>
      <c r="I521" s="24"/>
      <c r="J521" s="24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</row>
    <row r="522" spans="1:23" x14ac:dyDescent="0.2">
      <c r="A522" s="23"/>
      <c r="B522" s="8"/>
      <c r="C522" s="11"/>
      <c r="D522" s="11"/>
      <c r="E522" s="11"/>
      <c r="F522" s="11"/>
      <c r="G522" s="11"/>
      <c r="H522" s="11"/>
      <c r="I522" s="24"/>
      <c r="J522" s="24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</row>
    <row r="523" spans="1:23" x14ac:dyDescent="0.2">
      <c r="A523" s="23"/>
      <c r="B523" s="8"/>
      <c r="C523" s="11"/>
      <c r="D523" s="11"/>
      <c r="E523" s="11"/>
      <c r="F523" s="11"/>
      <c r="G523" s="11"/>
      <c r="H523" s="11"/>
      <c r="I523" s="24"/>
      <c r="J523" s="24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</row>
    <row r="524" spans="1:23" x14ac:dyDescent="0.2">
      <c r="A524" s="23"/>
      <c r="B524" s="8"/>
      <c r="C524" s="11"/>
      <c r="D524" s="11"/>
      <c r="E524" s="11"/>
      <c r="F524" s="11"/>
      <c r="G524" s="11"/>
      <c r="H524" s="11"/>
      <c r="I524" s="24"/>
      <c r="J524" s="24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</row>
    <row r="525" spans="1:23" x14ac:dyDescent="0.2">
      <c r="A525" s="23"/>
      <c r="B525" s="8"/>
      <c r="C525" s="11"/>
      <c r="D525" s="11"/>
      <c r="E525" s="11"/>
      <c r="F525" s="11"/>
      <c r="G525" s="11"/>
      <c r="H525" s="11"/>
      <c r="I525" s="24"/>
      <c r="J525" s="24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</row>
    <row r="526" spans="1:23" x14ac:dyDescent="0.2">
      <c r="A526" s="23"/>
      <c r="B526" s="8"/>
      <c r="C526" s="11"/>
      <c r="D526" s="11"/>
      <c r="E526" s="11"/>
      <c r="F526" s="11"/>
      <c r="G526" s="11"/>
      <c r="H526" s="11"/>
      <c r="I526" s="24"/>
      <c r="J526" s="24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</row>
    <row r="527" spans="1:23" x14ac:dyDescent="0.2">
      <c r="A527" s="23"/>
      <c r="B527" s="8"/>
      <c r="C527" s="11"/>
      <c r="D527" s="11"/>
      <c r="E527" s="11"/>
      <c r="F527" s="11"/>
      <c r="G527" s="11"/>
      <c r="H527" s="11"/>
      <c r="I527" s="24"/>
      <c r="J527" s="24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</row>
    <row r="528" spans="1:23" x14ac:dyDescent="0.2">
      <c r="A528" s="23"/>
      <c r="B528" s="8"/>
      <c r="C528" s="11"/>
      <c r="D528" s="11"/>
      <c r="E528" s="11"/>
      <c r="F528" s="11"/>
      <c r="G528" s="11"/>
      <c r="H528" s="11"/>
      <c r="I528" s="24"/>
      <c r="J528" s="24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</row>
    <row r="529" spans="1:23" x14ac:dyDescent="0.2">
      <c r="A529" s="23"/>
      <c r="B529" s="8"/>
      <c r="C529" s="11"/>
      <c r="D529" s="11"/>
      <c r="E529" s="11"/>
      <c r="F529" s="11"/>
      <c r="G529" s="11"/>
      <c r="H529" s="11"/>
      <c r="I529" s="24"/>
      <c r="J529" s="24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</row>
    <row r="530" spans="1:23" x14ac:dyDescent="0.2">
      <c r="A530" s="23"/>
      <c r="B530" s="8"/>
      <c r="C530" s="11"/>
      <c r="D530" s="11"/>
      <c r="E530" s="11"/>
      <c r="F530" s="11"/>
      <c r="G530" s="11"/>
      <c r="H530" s="11"/>
      <c r="I530" s="24"/>
      <c r="J530" s="24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</row>
    <row r="531" spans="1:23" x14ac:dyDescent="0.2">
      <c r="A531" s="23"/>
      <c r="B531" s="8"/>
      <c r="C531" s="11"/>
      <c r="D531" s="11"/>
      <c r="E531" s="11"/>
      <c r="F531" s="11"/>
      <c r="G531" s="11"/>
      <c r="H531" s="11"/>
      <c r="I531" s="24"/>
      <c r="J531" s="24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</row>
    <row r="532" spans="1:23" x14ac:dyDescent="0.2">
      <c r="A532" s="23"/>
      <c r="B532" s="8"/>
      <c r="C532" s="11"/>
      <c r="D532" s="11"/>
      <c r="E532" s="11"/>
      <c r="F532" s="11"/>
      <c r="G532" s="11"/>
      <c r="H532" s="11"/>
      <c r="I532" s="24"/>
      <c r="J532" s="24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</row>
    <row r="533" spans="1:23" x14ac:dyDescent="0.2">
      <c r="A533" s="23"/>
      <c r="B533" s="8"/>
      <c r="C533" s="11"/>
      <c r="D533" s="11"/>
      <c r="E533" s="11"/>
      <c r="F533" s="11"/>
      <c r="G533" s="11"/>
      <c r="H533" s="11"/>
      <c r="I533" s="24"/>
      <c r="J533" s="24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</row>
    <row r="534" spans="1:23" x14ac:dyDescent="0.2">
      <c r="A534" s="23"/>
      <c r="B534" s="8"/>
      <c r="C534" s="11"/>
      <c r="D534" s="11"/>
      <c r="E534" s="11"/>
      <c r="F534" s="11"/>
      <c r="G534" s="11"/>
      <c r="H534" s="11"/>
      <c r="I534" s="24"/>
      <c r="J534" s="24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</row>
    <row r="535" spans="1:23" x14ac:dyDescent="0.2">
      <c r="A535" s="23"/>
      <c r="B535" s="8"/>
      <c r="C535" s="11"/>
      <c r="D535" s="11"/>
      <c r="E535" s="11"/>
      <c r="F535" s="11"/>
      <c r="G535" s="11"/>
      <c r="H535" s="11"/>
      <c r="I535" s="24"/>
      <c r="J535" s="24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</row>
    <row r="536" spans="1:23" x14ac:dyDescent="0.2">
      <c r="A536" s="23"/>
      <c r="B536" s="8"/>
      <c r="C536" s="11"/>
      <c r="D536" s="11"/>
      <c r="E536" s="11"/>
      <c r="F536" s="11"/>
      <c r="G536" s="11"/>
      <c r="H536" s="11"/>
      <c r="I536" s="24"/>
      <c r="J536" s="24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</row>
    <row r="537" spans="1:23" x14ac:dyDescent="0.2">
      <c r="A537" s="23"/>
      <c r="B537" s="8"/>
      <c r="C537" s="11"/>
      <c r="D537" s="11"/>
      <c r="E537" s="11"/>
      <c r="F537" s="11"/>
      <c r="G537" s="11"/>
      <c r="H537" s="11"/>
      <c r="I537" s="24"/>
      <c r="J537" s="24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</row>
    <row r="538" spans="1:23" x14ac:dyDescent="0.2">
      <c r="A538" s="23"/>
      <c r="B538" s="8"/>
      <c r="C538" s="11"/>
      <c r="D538" s="11"/>
      <c r="E538" s="11"/>
      <c r="F538" s="11"/>
      <c r="G538" s="11"/>
      <c r="H538" s="11"/>
      <c r="I538" s="24"/>
      <c r="J538" s="24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</row>
    <row r="539" spans="1:23" x14ac:dyDescent="0.2">
      <c r="A539" s="23"/>
      <c r="B539" s="8"/>
      <c r="C539" s="11"/>
      <c r="D539" s="11"/>
      <c r="E539" s="11"/>
      <c r="F539" s="11"/>
      <c r="G539" s="11"/>
      <c r="H539" s="11"/>
      <c r="I539" s="24"/>
      <c r="J539" s="24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</row>
    <row r="540" spans="1:23" x14ac:dyDescent="0.2">
      <c r="A540" s="23"/>
      <c r="B540" s="8"/>
      <c r="C540" s="11"/>
      <c r="D540" s="11"/>
      <c r="E540" s="11"/>
      <c r="F540" s="11"/>
      <c r="G540" s="11"/>
      <c r="H540" s="11"/>
      <c r="I540" s="24"/>
      <c r="J540" s="24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</row>
    <row r="541" spans="1:23" x14ac:dyDescent="0.2">
      <c r="A541" s="23"/>
      <c r="B541" s="8"/>
      <c r="C541" s="11"/>
      <c r="D541" s="11"/>
      <c r="E541" s="11"/>
      <c r="F541" s="11"/>
      <c r="G541" s="11"/>
      <c r="H541" s="11"/>
      <c r="I541" s="24"/>
      <c r="J541" s="24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</row>
    <row r="542" spans="1:23" x14ac:dyDescent="0.2">
      <c r="A542" s="23"/>
      <c r="B542" s="8"/>
      <c r="C542" s="11"/>
      <c r="D542" s="11"/>
      <c r="E542" s="11"/>
      <c r="F542" s="11"/>
      <c r="G542" s="11"/>
      <c r="H542" s="11"/>
      <c r="I542" s="24"/>
      <c r="J542" s="24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</row>
    <row r="543" spans="1:23" x14ac:dyDescent="0.2">
      <c r="A543" s="23"/>
      <c r="B543" s="8"/>
      <c r="C543" s="11"/>
      <c r="D543" s="11"/>
      <c r="E543" s="11"/>
      <c r="F543" s="11"/>
      <c r="G543" s="11"/>
      <c r="H543" s="11"/>
      <c r="I543" s="24"/>
      <c r="J543" s="24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</row>
    <row r="544" spans="1:23" x14ac:dyDescent="0.2">
      <c r="A544" s="23"/>
      <c r="B544" s="8"/>
      <c r="C544" s="11"/>
      <c r="D544" s="11"/>
      <c r="E544" s="11"/>
      <c r="F544" s="11"/>
      <c r="G544" s="11"/>
      <c r="H544" s="11"/>
      <c r="I544" s="24"/>
      <c r="J544" s="24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</row>
    <row r="545" spans="1:23" x14ac:dyDescent="0.2">
      <c r="A545" s="23"/>
      <c r="B545" s="8"/>
      <c r="C545" s="11"/>
      <c r="D545" s="11"/>
      <c r="E545" s="11"/>
      <c r="F545" s="11"/>
      <c r="G545" s="11"/>
      <c r="H545" s="11"/>
      <c r="I545" s="24"/>
      <c r="J545" s="24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</row>
    <row r="546" spans="1:23" x14ac:dyDescent="0.2">
      <c r="A546" s="23"/>
      <c r="B546" s="8"/>
      <c r="C546" s="11"/>
      <c r="D546" s="11"/>
      <c r="E546" s="11"/>
      <c r="F546" s="11"/>
      <c r="G546" s="11"/>
      <c r="H546" s="11"/>
      <c r="I546" s="24"/>
      <c r="J546" s="24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</row>
    <row r="547" spans="1:23" x14ac:dyDescent="0.2">
      <c r="A547" s="23"/>
      <c r="B547" s="8"/>
      <c r="C547" s="11"/>
      <c r="D547" s="11"/>
      <c r="E547" s="11"/>
      <c r="F547" s="11"/>
      <c r="G547" s="11"/>
      <c r="H547" s="11"/>
      <c r="I547" s="24"/>
      <c r="J547" s="24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</row>
    <row r="548" spans="1:23" x14ac:dyDescent="0.2">
      <c r="A548" s="23"/>
      <c r="B548" s="8"/>
      <c r="C548" s="11"/>
      <c r="D548" s="11"/>
      <c r="E548" s="11"/>
      <c r="F548" s="11"/>
      <c r="G548" s="11"/>
      <c r="H548" s="11"/>
      <c r="I548" s="24"/>
      <c r="J548" s="24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</row>
    <row r="549" spans="1:23" x14ac:dyDescent="0.2">
      <c r="A549" s="23"/>
      <c r="B549" s="8"/>
      <c r="C549" s="11"/>
      <c r="D549" s="11"/>
      <c r="E549" s="11"/>
      <c r="F549" s="11"/>
      <c r="G549" s="11"/>
      <c r="H549" s="11"/>
      <c r="I549" s="24"/>
      <c r="J549" s="24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</row>
    <row r="550" spans="1:23" x14ac:dyDescent="0.2">
      <c r="A550" s="23"/>
      <c r="B550" s="8"/>
      <c r="C550" s="11"/>
      <c r="D550" s="11"/>
      <c r="E550" s="11"/>
      <c r="F550" s="11"/>
      <c r="G550" s="11"/>
      <c r="H550" s="11"/>
      <c r="I550" s="24"/>
      <c r="J550" s="24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</row>
    <row r="551" spans="1:23" x14ac:dyDescent="0.2">
      <c r="A551" s="23"/>
      <c r="B551" s="8"/>
      <c r="C551" s="11"/>
      <c r="D551" s="11"/>
      <c r="E551" s="11"/>
      <c r="F551" s="11"/>
      <c r="G551" s="11"/>
      <c r="H551" s="11"/>
      <c r="I551" s="24"/>
      <c r="J551" s="24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</row>
    <row r="552" spans="1:23" x14ac:dyDescent="0.2">
      <c r="A552" s="23"/>
      <c r="B552" s="8"/>
      <c r="C552" s="11"/>
      <c r="D552" s="11"/>
      <c r="E552" s="11"/>
      <c r="F552" s="11"/>
      <c r="G552" s="11"/>
      <c r="H552" s="11"/>
      <c r="I552" s="24"/>
      <c r="J552" s="24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</row>
    <row r="553" spans="1:23" x14ac:dyDescent="0.2">
      <c r="A553" s="23"/>
      <c r="B553" s="8"/>
      <c r="C553" s="11"/>
      <c r="D553" s="11"/>
      <c r="E553" s="11"/>
      <c r="F553" s="11"/>
      <c r="G553" s="11"/>
      <c r="H553" s="11"/>
      <c r="I553" s="24"/>
      <c r="J553" s="24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</row>
    <row r="554" spans="1:23" x14ac:dyDescent="0.2">
      <c r="A554" s="23"/>
      <c r="B554" s="8"/>
      <c r="C554" s="11"/>
      <c r="D554" s="11"/>
      <c r="E554" s="11"/>
      <c r="F554" s="11"/>
      <c r="G554" s="11"/>
      <c r="H554" s="11"/>
      <c r="I554" s="24"/>
      <c r="J554" s="24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</row>
    <row r="555" spans="1:23" x14ac:dyDescent="0.2">
      <c r="A555" s="23"/>
      <c r="B555" s="8"/>
      <c r="C555" s="11"/>
      <c r="D555" s="11"/>
      <c r="E555" s="11"/>
      <c r="F555" s="11"/>
      <c r="G555" s="11"/>
      <c r="H555" s="11"/>
      <c r="I555" s="24"/>
      <c r="J555" s="24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</row>
    <row r="556" spans="1:23" x14ac:dyDescent="0.2">
      <c r="A556" s="23"/>
      <c r="B556" s="8"/>
      <c r="C556" s="11"/>
      <c r="D556" s="11"/>
      <c r="E556" s="11"/>
      <c r="F556" s="11"/>
      <c r="G556" s="11"/>
      <c r="H556" s="11"/>
      <c r="I556" s="24"/>
      <c r="J556" s="24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</row>
    <row r="557" spans="1:23" x14ac:dyDescent="0.2">
      <c r="A557" s="23"/>
      <c r="B557" s="8"/>
      <c r="C557" s="11"/>
      <c r="D557" s="11"/>
      <c r="E557" s="11"/>
      <c r="F557" s="11"/>
      <c r="G557" s="11"/>
      <c r="H557" s="11"/>
      <c r="I557" s="24"/>
      <c r="J557" s="24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</row>
    <row r="558" spans="1:23" x14ac:dyDescent="0.2">
      <c r="A558" s="23"/>
      <c r="B558" s="8"/>
      <c r="C558" s="11"/>
      <c r="D558" s="11"/>
      <c r="E558" s="11"/>
      <c r="F558" s="11"/>
      <c r="G558" s="11"/>
      <c r="H558" s="11"/>
      <c r="I558" s="24"/>
      <c r="J558" s="24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</row>
    <row r="559" spans="1:23" x14ac:dyDescent="0.2">
      <c r="A559" s="23"/>
      <c r="B559" s="8"/>
      <c r="C559" s="11"/>
      <c r="D559" s="11"/>
      <c r="E559" s="11"/>
      <c r="F559" s="11"/>
      <c r="G559" s="11"/>
      <c r="H559" s="11"/>
      <c r="I559" s="24"/>
      <c r="J559" s="24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</row>
    <row r="560" spans="1:23" x14ac:dyDescent="0.2">
      <c r="A560" s="23"/>
      <c r="B560" s="8"/>
      <c r="C560" s="11"/>
      <c r="D560" s="11"/>
      <c r="E560" s="11"/>
      <c r="F560" s="11"/>
      <c r="G560" s="11"/>
      <c r="H560" s="11"/>
      <c r="I560" s="24"/>
      <c r="J560" s="24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</row>
    <row r="561" spans="1:23" x14ac:dyDescent="0.2">
      <c r="A561" s="23"/>
      <c r="B561" s="8"/>
      <c r="C561" s="11"/>
      <c r="D561" s="11"/>
      <c r="E561" s="11"/>
      <c r="F561" s="11"/>
      <c r="G561" s="11"/>
      <c r="H561" s="11"/>
      <c r="I561" s="24"/>
      <c r="J561" s="24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</row>
    <row r="562" spans="1:23" x14ac:dyDescent="0.2">
      <c r="A562" s="23"/>
      <c r="B562" s="8"/>
      <c r="C562" s="11"/>
      <c r="D562" s="11"/>
      <c r="E562" s="11"/>
      <c r="F562" s="11"/>
      <c r="G562" s="11"/>
      <c r="H562" s="11"/>
      <c r="I562" s="24"/>
      <c r="J562" s="24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</row>
    <row r="563" spans="1:23" x14ac:dyDescent="0.2">
      <c r="A563" s="23"/>
      <c r="B563" s="8"/>
      <c r="C563" s="11"/>
      <c r="D563" s="11"/>
      <c r="E563" s="11"/>
      <c r="F563" s="11"/>
      <c r="G563" s="11"/>
      <c r="H563" s="11"/>
      <c r="I563" s="24"/>
      <c r="J563" s="24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</row>
    <row r="564" spans="1:23" x14ac:dyDescent="0.2">
      <c r="A564" s="23"/>
      <c r="B564" s="8"/>
      <c r="C564" s="11"/>
      <c r="D564" s="11"/>
      <c r="E564" s="11"/>
      <c r="F564" s="11"/>
      <c r="G564" s="11"/>
      <c r="H564" s="11"/>
      <c r="I564" s="24"/>
      <c r="J564" s="24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</row>
    <row r="565" spans="1:23" x14ac:dyDescent="0.2">
      <c r="A565" s="23"/>
      <c r="B565" s="8"/>
      <c r="C565" s="11"/>
      <c r="D565" s="11"/>
      <c r="E565" s="11"/>
      <c r="F565" s="11"/>
      <c r="G565" s="11"/>
      <c r="H565" s="11"/>
      <c r="I565" s="24"/>
      <c r="J565" s="24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</row>
    <row r="566" spans="1:23" x14ac:dyDescent="0.2">
      <c r="A566" s="23"/>
      <c r="B566" s="8"/>
      <c r="C566" s="11"/>
      <c r="D566" s="11"/>
      <c r="E566" s="11"/>
      <c r="F566" s="11"/>
      <c r="G566" s="11"/>
      <c r="H566" s="11"/>
      <c r="I566" s="24"/>
      <c r="J566" s="24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</row>
    <row r="567" spans="1:23" x14ac:dyDescent="0.2">
      <c r="A567" s="23"/>
      <c r="B567" s="8"/>
      <c r="C567" s="11"/>
      <c r="D567" s="11"/>
      <c r="E567" s="11"/>
      <c r="F567" s="11"/>
      <c r="G567" s="11"/>
      <c r="H567" s="11"/>
      <c r="I567" s="24"/>
      <c r="J567" s="24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</row>
    <row r="568" spans="1:23" x14ac:dyDescent="0.2">
      <c r="A568" s="23"/>
      <c r="B568" s="8"/>
      <c r="C568" s="11"/>
      <c r="D568" s="11"/>
      <c r="E568" s="11"/>
      <c r="F568" s="11"/>
      <c r="G568" s="11"/>
      <c r="H568" s="11"/>
      <c r="I568" s="24"/>
      <c r="J568" s="24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</row>
    <row r="569" spans="1:23" x14ac:dyDescent="0.2">
      <c r="A569" s="23"/>
      <c r="B569" s="8"/>
      <c r="C569" s="11"/>
      <c r="D569" s="11"/>
      <c r="E569" s="11"/>
      <c r="F569" s="11"/>
      <c r="G569" s="11"/>
      <c r="H569" s="11"/>
      <c r="I569" s="24"/>
      <c r="J569" s="24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</row>
    <row r="570" spans="1:23" x14ac:dyDescent="0.2">
      <c r="A570" s="23"/>
      <c r="B570" s="8"/>
      <c r="C570" s="11"/>
      <c r="D570" s="11"/>
      <c r="E570" s="11"/>
      <c r="F570" s="11"/>
      <c r="G570" s="11"/>
      <c r="H570" s="11"/>
      <c r="I570" s="24"/>
      <c r="J570" s="24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</row>
    <row r="571" spans="1:23" x14ac:dyDescent="0.2">
      <c r="A571" s="23"/>
      <c r="B571" s="8"/>
      <c r="C571" s="11"/>
      <c r="D571" s="11"/>
      <c r="E571" s="11"/>
      <c r="F571" s="11"/>
      <c r="G571" s="11"/>
      <c r="H571" s="11"/>
      <c r="I571" s="24"/>
      <c r="J571" s="24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</row>
    <row r="572" spans="1:23" x14ac:dyDescent="0.2">
      <c r="A572" s="23"/>
      <c r="B572" s="8"/>
      <c r="C572" s="11"/>
      <c r="D572" s="11"/>
      <c r="E572" s="11"/>
      <c r="F572" s="11"/>
      <c r="G572" s="11"/>
      <c r="H572" s="11"/>
      <c r="I572" s="24"/>
      <c r="J572" s="24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</row>
    <row r="573" spans="1:23" x14ac:dyDescent="0.2">
      <c r="A573" s="23"/>
      <c r="B573" s="8"/>
      <c r="C573" s="11"/>
      <c r="D573" s="11"/>
      <c r="E573" s="11"/>
      <c r="F573" s="11"/>
      <c r="G573" s="11"/>
      <c r="H573" s="11"/>
      <c r="I573" s="24"/>
      <c r="J573" s="24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</row>
    <row r="574" spans="1:23" x14ac:dyDescent="0.2">
      <c r="A574" s="23"/>
      <c r="B574" s="8"/>
      <c r="C574" s="11"/>
      <c r="D574" s="11"/>
      <c r="E574" s="11"/>
      <c r="F574" s="11"/>
      <c r="G574" s="11"/>
      <c r="H574" s="11"/>
      <c r="I574" s="24"/>
      <c r="J574" s="24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</row>
    <row r="575" spans="1:23" x14ac:dyDescent="0.2">
      <c r="A575" s="23"/>
      <c r="B575" s="8"/>
      <c r="C575" s="11"/>
      <c r="D575" s="11"/>
      <c r="E575" s="11"/>
      <c r="F575" s="11"/>
      <c r="G575" s="11"/>
      <c r="H575" s="11"/>
      <c r="I575" s="24"/>
      <c r="J575" s="24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</row>
    <row r="576" spans="1:23" x14ac:dyDescent="0.2">
      <c r="A576" s="23"/>
      <c r="B576" s="8"/>
      <c r="C576" s="11"/>
      <c r="D576" s="11"/>
      <c r="E576" s="11"/>
      <c r="F576" s="11"/>
      <c r="G576" s="11"/>
      <c r="H576" s="11"/>
      <c r="I576" s="24"/>
      <c r="J576" s="24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</row>
    <row r="577" spans="1:23" x14ac:dyDescent="0.2">
      <c r="A577" s="23"/>
      <c r="B577" s="8"/>
      <c r="C577" s="11"/>
      <c r="D577" s="11"/>
      <c r="E577" s="11"/>
      <c r="F577" s="11"/>
      <c r="G577" s="11"/>
      <c r="H577" s="11"/>
      <c r="I577" s="24"/>
      <c r="J577" s="24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</row>
    <row r="578" spans="1:23" x14ac:dyDescent="0.2">
      <c r="A578" s="23"/>
      <c r="B578" s="8"/>
      <c r="C578" s="11"/>
      <c r="D578" s="11"/>
      <c r="E578" s="11"/>
      <c r="F578" s="11"/>
      <c r="G578" s="11"/>
      <c r="H578" s="11"/>
      <c r="I578" s="24"/>
      <c r="J578" s="24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</row>
    <row r="579" spans="1:23" x14ac:dyDescent="0.2">
      <c r="A579" s="23"/>
      <c r="B579" s="8"/>
      <c r="C579" s="11"/>
      <c r="D579" s="11"/>
      <c r="E579" s="11"/>
      <c r="F579" s="11"/>
      <c r="G579" s="11"/>
      <c r="H579" s="11"/>
      <c r="I579" s="24"/>
      <c r="J579" s="24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</row>
    <row r="580" spans="1:23" x14ac:dyDescent="0.2">
      <c r="A580" s="23"/>
      <c r="B580" s="8"/>
      <c r="C580" s="11"/>
      <c r="D580" s="11"/>
      <c r="E580" s="11"/>
      <c r="F580" s="11"/>
      <c r="G580" s="11"/>
      <c r="H580" s="11"/>
      <c r="I580" s="24"/>
      <c r="J580" s="24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</row>
    <row r="581" spans="1:23" x14ac:dyDescent="0.2">
      <c r="A581" s="23"/>
      <c r="B581" s="8"/>
      <c r="C581" s="11"/>
      <c r="D581" s="11"/>
      <c r="E581" s="11"/>
      <c r="F581" s="11"/>
      <c r="G581" s="11"/>
      <c r="H581" s="11"/>
      <c r="I581" s="24"/>
      <c r="J581" s="24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</row>
    <row r="582" spans="1:23" x14ac:dyDescent="0.2">
      <c r="A582" s="23"/>
      <c r="B582" s="8"/>
      <c r="C582" s="11"/>
      <c r="D582" s="11"/>
      <c r="E582" s="11"/>
      <c r="F582" s="11"/>
      <c r="G582" s="11"/>
      <c r="H582" s="11"/>
      <c r="I582" s="24"/>
      <c r="J582" s="24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</row>
    <row r="583" spans="1:23" x14ac:dyDescent="0.2">
      <c r="A583" s="23"/>
      <c r="B583" s="8"/>
      <c r="C583" s="11"/>
      <c r="D583" s="11"/>
      <c r="E583" s="11"/>
      <c r="F583" s="11"/>
      <c r="G583" s="11"/>
      <c r="H583" s="11"/>
      <c r="I583" s="24"/>
      <c r="J583" s="24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</row>
    <row r="584" spans="1:23" x14ac:dyDescent="0.2">
      <c r="A584" s="23"/>
      <c r="B584" s="8"/>
      <c r="C584" s="11"/>
      <c r="D584" s="11"/>
      <c r="E584" s="11"/>
      <c r="F584" s="11"/>
      <c r="G584" s="11"/>
      <c r="H584" s="11"/>
      <c r="I584" s="24"/>
      <c r="J584" s="24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</row>
    <row r="585" spans="1:23" x14ac:dyDescent="0.2">
      <c r="A585" s="23"/>
      <c r="B585" s="8"/>
      <c r="C585" s="11"/>
      <c r="D585" s="11"/>
      <c r="E585" s="11"/>
      <c r="F585" s="11"/>
      <c r="G585" s="11"/>
      <c r="H585" s="11"/>
      <c r="I585" s="24"/>
      <c r="J585" s="24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</row>
    <row r="586" spans="1:23" x14ac:dyDescent="0.2">
      <c r="A586" s="23"/>
      <c r="B586" s="8"/>
      <c r="C586" s="11"/>
      <c r="D586" s="11"/>
      <c r="E586" s="11"/>
      <c r="F586" s="11"/>
      <c r="G586" s="11"/>
      <c r="H586" s="11"/>
      <c r="I586" s="24"/>
      <c r="J586" s="24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</row>
    <row r="587" spans="1:23" x14ac:dyDescent="0.2">
      <c r="A587" s="23"/>
      <c r="B587" s="8"/>
      <c r="C587" s="11"/>
      <c r="D587" s="11"/>
      <c r="E587" s="11"/>
      <c r="F587" s="11"/>
      <c r="G587" s="11"/>
      <c r="H587" s="11"/>
      <c r="I587" s="24"/>
      <c r="J587" s="24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</row>
    <row r="588" spans="1:23" x14ac:dyDescent="0.2">
      <c r="A588" s="23"/>
      <c r="B588" s="8"/>
      <c r="C588" s="11"/>
      <c r="D588" s="11"/>
      <c r="E588" s="11"/>
      <c r="F588" s="11"/>
      <c r="G588" s="11"/>
      <c r="H588" s="11"/>
      <c r="I588" s="24"/>
      <c r="J588" s="24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</row>
    <row r="589" spans="1:23" x14ac:dyDescent="0.2">
      <c r="A589" s="23"/>
      <c r="B589" s="8"/>
      <c r="C589" s="11"/>
      <c r="D589" s="11"/>
      <c r="E589" s="11"/>
      <c r="F589" s="11"/>
      <c r="G589" s="11"/>
      <c r="H589" s="11"/>
      <c r="I589" s="24"/>
      <c r="J589" s="24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</row>
    <row r="590" spans="1:23" x14ac:dyDescent="0.2">
      <c r="A590" s="23"/>
      <c r="B590" s="8"/>
      <c r="C590" s="11"/>
      <c r="D590" s="11"/>
      <c r="E590" s="11"/>
      <c r="F590" s="11"/>
      <c r="G590" s="11"/>
      <c r="H590" s="11"/>
      <c r="I590" s="24"/>
      <c r="J590" s="24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</row>
    <row r="591" spans="1:23" x14ac:dyDescent="0.2">
      <c r="A591" s="23"/>
      <c r="B591" s="8"/>
      <c r="C591" s="11"/>
      <c r="D591" s="11"/>
      <c r="E591" s="11"/>
      <c r="F591" s="11"/>
      <c r="G591" s="11"/>
      <c r="H591" s="11"/>
      <c r="I591" s="24"/>
      <c r="J591" s="24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</row>
    <row r="592" spans="1:23" x14ac:dyDescent="0.2">
      <c r="A592" s="23"/>
      <c r="B592" s="8"/>
      <c r="C592" s="11"/>
      <c r="D592" s="11"/>
      <c r="E592" s="11"/>
      <c r="F592" s="11"/>
      <c r="G592" s="11"/>
      <c r="H592" s="11"/>
      <c r="I592" s="24"/>
      <c r="J592" s="24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</row>
    <row r="593" spans="1:23" x14ac:dyDescent="0.2">
      <c r="A593" s="23"/>
      <c r="B593" s="8"/>
      <c r="C593" s="11"/>
      <c r="D593" s="11"/>
      <c r="E593" s="11"/>
      <c r="F593" s="11"/>
      <c r="G593" s="11"/>
      <c r="H593" s="11"/>
      <c r="I593" s="24"/>
      <c r="J593" s="24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</row>
    <row r="594" spans="1:23" x14ac:dyDescent="0.2">
      <c r="A594" s="23"/>
      <c r="B594" s="8"/>
      <c r="C594" s="11"/>
      <c r="D594" s="11"/>
      <c r="E594" s="11"/>
      <c r="F594" s="11"/>
      <c r="G594" s="11"/>
      <c r="H594" s="11"/>
      <c r="I594" s="24"/>
      <c r="J594" s="24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</row>
    <row r="595" spans="1:23" x14ac:dyDescent="0.2">
      <c r="A595" s="23"/>
      <c r="B595" s="8"/>
      <c r="C595" s="11"/>
      <c r="D595" s="11"/>
      <c r="E595" s="11"/>
      <c r="F595" s="11"/>
      <c r="G595" s="11"/>
      <c r="H595" s="11"/>
      <c r="I595" s="24"/>
      <c r="J595" s="24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</row>
    <row r="596" spans="1:23" x14ac:dyDescent="0.2">
      <c r="A596" s="23"/>
      <c r="B596" s="8"/>
      <c r="C596" s="11"/>
      <c r="D596" s="11"/>
      <c r="E596" s="11"/>
      <c r="F596" s="11"/>
      <c r="G596" s="11"/>
      <c r="H596" s="11"/>
      <c r="I596" s="24"/>
      <c r="J596" s="24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</row>
    <row r="597" spans="1:23" x14ac:dyDescent="0.2">
      <c r="A597" s="23"/>
      <c r="B597" s="8"/>
      <c r="C597" s="11"/>
      <c r="D597" s="11"/>
      <c r="E597" s="11"/>
      <c r="F597" s="11"/>
      <c r="G597" s="11"/>
      <c r="H597" s="11"/>
      <c r="I597" s="24"/>
      <c r="J597" s="24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</row>
    <row r="598" spans="1:23" x14ac:dyDescent="0.2">
      <c r="A598" s="23"/>
      <c r="B598" s="8"/>
      <c r="C598" s="11"/>
      <c r="D598" s="11"/>
      <c r="E598" s="11"/>
      <c r="F598" s="11"/>
      <c r="G598" s="11"/>
      <c r="H598" s="11"/>
      <c r="I598" s="24"/>
      <c r="J598" s="24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</row>
    <row r="599" spans="1:23" x14ac:dyDescent="0.2">
      <c r="A599" s="23"/>
      <c r="B599" s="8"/>
      <c r="C599" s="11"/>
      <c r="D599" s="11"/>
      <c r="E599" s="11"/>
      <c r="F599" s="11"/>
      <c r="G599" s="11"/>
      <c r="H599" s="11"/>
      <c r="I599" s="24"/>
      <c r="J599" s="24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</row>
    <row r="600" spans="1:23" x14ac:dyDescent="0.2">
      <c r="A600" s="23"/>
      <c r="B600" s="8"/>
      <c r="C600" s="11"/>
      <c r="D600" s="11"/>
      <c r="E600" s="11"/>
      <c r="F600" s="11"/>
      <c r="G600" s="11"/>
      <c r="H600" s="11"/>
      <c r="I600" s="24"/>
      <c r="J600" s="24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</row>
    <row r="601" spans="1:23" x14ac:dyDescent="0.2">
      <c r="A601" s="23"/>
      <c r="B601" s="8"/>
      <c r="C601" s="11"/>
      <c r="D601" s="11"/>
      <c r="E601" s="11"/>
      <c r="F601" s="11"/>
      <c r="G601" s="11"/>
      <c r="H601" s="11"/>
      <c r="I601" s="24"/>
      <c r="J601" s="24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</row>
    <row r="602" spans="1:23" x14ac:dyDescent="0.2">
      <c r="A602" s="23"/>
      <c r="B602" s="8"/>
      <c r="C602" s="11"/>
      <c r="D602" s="11"/>
      <c r="E602" s="11"/>
      <c r="F602" s="11"/>
      <c r="G602" s="11"/>
      <c r="H602" s="11"/>
      <c r="I602" s="24"/>
      <c r="J602" s="24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</row>
    <row r="603" spans="1:23" x14ac:dyDescent="0.2">
      <c r="A603" s="23"/>
      <c r="B603" s="8"/>
      <c r="C603" s="11"/>
      <c r="D603" s="11"/>
      <c r="E603" s="11"/>
      <c r="F603" s="11"/>
      <c r="G603" s="11"/>
      <c r="H603" s="11"/>
      <c r="I603" s="24"/>
      <c r="J603" s="24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</row>
    <row r="604" spans="1:23" x14ac:dyDescent="0.2">
      <c r="A604" s="23"/>
      <c r="B604" s="8"/>
      <c r="C604" s="11"/>
      <c r="D604" s="11"/>
      <c r="E604" s="11"/>
      <c r="F604" s="11"/>
      <c r="G604" s="11"/>
      <c r="H604" s="11"/>
      <c r="I604" s="24"/>
      <c r="J604" s="24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</row>
    <row r="605" spans="1:23" x14ac:dyDescent="0.2">
      <c r="A605" s="23"/>
      <c r="B605" s="8"/>
      <c r="C605" s="11"/>
      <c r="D605" s="11"/>
      <c r="E605" s="11"/>
      <c r="F605" s="11"/>
      <c r="G605" s="11"/>
      <c r="H605" s="11"/>
      <c r="I605" s="24"/>
      <c r="J605" s="24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</row>
    <row r="606" spans="1:23" x14ac:dyDescent="0.2">
      <c r="A606" s="23"/>
      <c r="B606" s="8"/>
      <c r="C606" s="11"/>
      <c r="D606" s="11"/>
      <c r="E606" s="11"/>
      <c r="F606" s="11"/>
      <c r="G606" s="11"/>
      <c r="H606" s="11"/>
      <c r="I606" s="24"/>
      <c r="J606" s="24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</row>
    <row r="607" spans="1:23" x14ac:dyDescent="0.2">
      <c r="A607" s="23"/>
      <c r="B607" s="8"/>
      <c r="C607" s="11"/>
      <c r="D607" s="11"/>
      <c r="E607" s="11"/>
      <c r="F607" s="11"/>
      <c r="G607" s="11"/>
      <c r="H607" s="11"/>
      <c r="I607" s="24"/>
      <c r="J607" s="24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</row>
    <row r="608" spans="1:23" x14ac:dyDescent="0.2">
      <c r="A608" s="23"/>
      <c r="B608" s="8"/>
      <c r="C608" s="11"/>
      <c r="D608" s="11"/>
      <c r="E608" s="11"/>
      <c r="F608" s="11"/>
      <c r="G608" s="11"/>
      <c r="H608" s="11"/>
      <c r="I608" s="24"/>
      <c r="J608" s="24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</row>
    <row r="609" spans="1:23" x14ac:dyDescent="0.2">
      <c r="A609" s="23"/>
      <c r="B609" s="8"/>
      <c r="C609" s="11"/>
      <c r="D609" s="11"/>
      <c r="E609" s="11"/>
      <c r="F609" s="11"/>
      <c r="G609" s="11"/>
      <c r="H609" s="11"/>
      <c r="I609" s="24"/>
      <c r="J609" s="24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</row>
    <row r="610" spans="1:23" x14ac:dyDescent="0.2">
      <c r="A610" s="23"/>
      <c r="B610" s="8"/>
      <c r="C610" s="11"/>
      <c r="D610" s="11"/>
      <c r="E610" s="11"/>
      <c r="F610" s="11"/>
      <c r="G610" s="11"/>
      <c r="H610" s="11"/>
      <c r="I610" s="24"/>
      <c r="J610" s="24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</row>
    <row r="611" spans="1:23" x14ac:dyDescent="0.2">
      <c r="A611" s="23"/>
      <c r="B611" s="8"/>
      <c r="C611" s="11"/>
      <c r="D611" s="11"/>
      <c r="E611" s="11"/>
      <c r="F611" s="11"/>
      <c r="G611" s="11"/>
      <c r="H611" s="11"/>
      <c r="I611" s="24"/>
      <c r="J611" s="24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</row>
    <row r="612" spans="1:23" x14ac:dyDescent="0.2">
      <c r="A612" s="23"/>
      <c r="B612" s="8"/>
      <c r="C612" s="11"/>
      <c r="D612" s="11"/>
      <c r="E612" s="11"/>
      <c r="F612" s="11"/>
      <c r="G612" s="11"/>
      <c r="H612" s="11"/>
      <c r="I612" s="24"/>
      <c r="J612" s="24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</row>
    <row r="613" spans="1:23" x14ac:dyDescent="0.2">
      <c r="A613" s="23"/>
      <c r="B613" s="8"/>
      <c r="C613" s="11"/>
      <c r="D613" s="11"/>
      <c r="E613" s="11"/>
      <c r="F613" s="11"/>
      <c r="G613" s="11"/>
      <c r="H613" s="11"/>
      <c r="I613" s="24"/>
      <c r="J613" s="24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</row>
    <row r="614" spans="1:23" x14ac:dyDescent="0.2">
      <c r="A614" s="23"/>
      <c r="B614" s="8"/>
      <c r="C614" s="11"/>
      <c r="D614" s="11"/>
      <c r="E614" s="11"/>
      <c r="F614" s="11"/>
      <c r="G614" s="11"/>
      <c r="H614" s="11"/>
      <c r="I614" s="24"/>
      <c r="J614" s="24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</row>
    <row r="615" spans="1:23" x14ac:dyDescent="0.2">
      <c r="A615" s="23"/>
      <c r="B615" s="8"/>
      <c r="C615" s="11"/>
      <c r="D615" s="11"/>
      <c r="E615" s="11"/>
      <c r="F615" s="11"/>
      <c r="G615" s="11"/>
      <c r="H615" s="11"/>
      <c r="I615" s="24"/>
      <c r="J615" s="24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</row>
    <row r="616" spans="1:23" x14ac:dyDescent="0.2">
      <c r="A616" s="23"/>
      <c r="B616" s="8"/>
      <c r="C616" s="11"/>
      <c r="D616" s="11"/>
      <c r="E616" s="11"/>
      <c r="F616" s="11"/>
      <c r="G616" s="11"/>
      <c r="H616" s="11"/>
      <c r="I616" s="24"/>
      <c r="J616" s="24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</row>
    <row r="617" spans="1:23" x14ac:dyDescent="0.2">
      <c r="A617" s="23"/>
      <c r="B617" s="8"/>
      <c r="C617" s="11"/>
      <c r="D617" s="11"/>
      <c r="E617" s="11"/>
      <c r="F617" s="11"/>
      <c r="G617" s="11"/>
      <c r="H617" s="11"/>
      <c r="I617" s="24"/>
      <c r="J617" s="24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</row>
    <row r="618" spans="1:23" x14ac:dyDescent="0.2">
      <c r="A618" s="23"/>
      <c r="B618" s="8"/>
      <c r="C618" s="11"/>
      <c r="D618" s="11"/>
      <c r="E618" s="11"/>
      <c r="F618" s="11"/>
      <c r="G618" s="11"/>
      <c r="H618" s="11"/>
      <c r="I618" s="24"/>
      <c r="J618" s="24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</row>
    <row r="619" spans="1:23" x14ac:dyDescent="0.2">
      <c r="A619" s="23"/>
      <c r="B619" s="8"/>
      <c r="C619" s="11"/>
      <c r="D619" s="11"/>
      <c r="E619" s="11"/>
      <c r="F619" s="11"/>
      <c r="G619" s="11"/>
      <c r="H619" s="11"/>
      <c r="I619" s="24"/>
      <c r="J619" s="24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</row>
    <row r="620" spans="1:23" x14ac:dyDescent="0.2">
      <c r="A620" s="23"/>
      <c r="B620" s="8"/>
      <c r="C620" s="11"/>
      <c r="D620" s="11"/>
      <c r="E620" s="11"/>
      <c r="F620" s="11"/>
      <c r="G620" s="11"/>
      <c r="H620" s="11"/>
      <c r="I620" s="24"/>
      <c r="J620" s="24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</row>
    <row r="621" spans="1:23" x14ac:dyDescent="0.2">
      <c r="A621" s="23"/>
      <c r="B621" s="8"/>
      <c r="C621" s="11"/>
      <c r="D621" s="11"/>
      <c r="E621" s="11"/>
      <c r="F621" s="11"/>
      <c r="G621" s="11"/>
      <c r="H621" s="11"/>
      <c r="I621" s="24"/>
      <c r="J621" s="24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</row>
    <row r="622" spans="1:23" x14ac:dyDescent="0.2">
      <c r="A622" s="23"/>
      <c r="B622" s="8"/>
      <c r="C622" s="11"/>
      <c r="D622" s="11"/>
      <c r="E622" s="11"/>
      <c r="F622" s="11"/>
      <c r="G622" s="11"/>
      <c r="H622" s="11"/>
      <c r="I622" s="24"/>
      <c r="J622" s="24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</row>
    <row r="623" spans="1:23" x14ac:dyDescent="0.2">
      <c r="A623" s="23"/>
      <c r="B623" s="8"/>
      <c r="C623" s="11"/>
      <c r="D623" s="11"/>
      <c r="E623" s="11"/>
      <c r="F623" s="11"/>
      <c r="G623" s="11"/>
      <c r="H623" s="11"/>
      <c r="I623" s="24"/>
      <c r="J623" s="24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</row>
    <row r="624" spans="1:23" x14ac:dyDescent="0.2">
      <c r="A624" s="23"/>
      <c r="B624" s="8"/>
      <c r="C624" s="11"/>
      <c r="D624" s="11"/>
      <c r="E624" s="11"/>
      <c r="F624" s="11"/>
      <c r="G624" s="11"/>
      <c r="H624" s="11"/>
      <c r="I624" s="24"/>
      <c r="J624" s="24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</row>
    <row r="625" spans="1:23" x14ac:dyDescent="0.2">
      <c r="A625" s="23"/>
      <c r="B625" s="8"/>
      <c r="C625" s="11"/>
      <c r="D625" s="11"/>
      <c r="E625" s="11"/>
      <c r="F625" s="11"/>
      <c r="G625" s="11"/>
      <c r="H625" s="11"/>
      <c r="I625" s="24"/>
      <c r="J625" s="24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</row>
    <row r="626" spans="1:23" x14ac:dyDescent="0.2">
      <c r="A626" s="23"/>
      <c r="B626" s="8"/>
      <c r="C626" s="11"/>
      <c r="D626" s="11"/>
      <c r="E626" s="11"/>
      <c r="F626" s="11"/>
      <c r="G626" s="11"/>
      <c r="H626" s="11"/>
      <c r="I626" s="24"/>
      <c r="J626" s="24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</row>
    <row r="627" spans="1:23" x14ac:dyDescent="0.2">
      <c r="A627" s="23"/>
      <c r="B627" s="8"/>
      <c r="C627" s="11"/>
      <c r="D627" s="11"/>
      <c r="E627" s="11"/>
      <c r="F627" s="11"/>
      <c r="G627" s="11"/>
      <c r="H627" s="11"/>
      <c r="I627" s="24"/>
      <c r="J627" s="24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</row>
    <row r="628" spans="1:23" x14ac:dyDescent="0.2">
      <c r="A628" s="23"/>
      <c r="B628" s="8"/>
      <c r="C628" s="11"/>
      <c r="D628" s="11"/>
      <c r="E628" s="11"/>
      <c r="F628" s="11"/>
      <c r="G628" s="11"/>
      <c r="H628" s="11"/>
      <c r="I628" s="24"/>
      <c r="J628" s="24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</row>
    <row r="629" spans="1:23" x14ac:dyDescent="0.2">
      <c r="A629" s="23"/>
      <c r="B629" s="8"/>
      <c r="C629" s="11"/>
      <c r="D629" s="11"/>
      <c r="E629" s="11"/>
      <c r="F629" s="11"/>
      <c r="G629" s="11"/>
      <c r="H629" s="11"/>
      <c r="I629" s="24"/>
      <c r="J629" s="24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</row>
    <row r="630" spans="1:23" x14ac:dyDescent="0.2">
      <c r="A630" s="23"/>
      <c r="B630" s="8"/>
      <c r="C630" s="11"/>
      <c r="D630" s="11"/>
      <c r="E630" s="11"/>
      <c r="F630" s="11"/>
      <c r="G630" s="11"/>
      <c r="H630" s="11"/>
      <c r="I630" s="24"/>
      <c r="J630" s="24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</row>
    <row r="631" spans="1:23" x14ac:dyDescent="0.2">
      <c r="A631" s="23"/>
      <c r="B631" s="8"/>
      <c r="C631" s="11"/>
      <c r="D631" s="11"/>
      <c r="E631" s="11"/>
      <c r="F631" s="11"/>
      <c r="G631" s="11"/>
      <c r="H631" s="11"/>
      <c r="I631" s="24"/>
      <c r="J631" s="24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</row>
    <row r="632" spans="1:23" x14ac:dyDescent="0.2">
      <c r="A632" s="23"/>
      <c r="B632" s="8"/>
      <c r="C632" s="11"/>
      <c r="D632" s="11"/>
      <c r="E632" s="11"/>
      <c r="F632" s="11"/>
      <c r="G632" s="11"/>
      <c r="H632" s="11"/>
      <c r="I632" s="24"/>
      <c r="J632" s="24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</row>
    <row r="633" spans="1:23" x14ac:dyDescent="0.2">
      <c r="A633" s="23"/>
      <c r="B633" s="8"/>
      <c r="C633" s="11"/>
      <c r="D633" s="11"/>
      <c r="E633" s="11"/>
      <c r="F633" s="11"/>
      <c r="G633" s="11"/>
      <c r="H633" s="11"/>
      <c r="I633" s="24"/>
      <c r="J633" s="24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</row>
    <row r="634" spans="1:23" x14ac:dyDescent="0.2">
      <c r="A634" s="23"/>
      <c r="B634" s="8"/>
      <c r="C634" s="11"/>
      <c r="D634" s="11"/>
      <c r="E634" s="11"/>
      <c r="F634" s="11"/>
      <c r="G634" s="11"/>
      <c r="H634" s="11"/>
      <c r="I634" s="24"/>
      <c r="J634" s="24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</row>
    <row r="635" spans="1:23" x14ac:dyDescent="0.2">
      <c r="A635" s="23"/>
      <c r="B635" s="8"/>
      <c r="C635" s="11"/>
      <c r="D635" s="11"/>
      <c r="E635" s="11"/>
      <c r="F635" s="11"/>
      <c r="G635" s="11"/>
      <c r="H635" s="11"/>
      <c r="I635" s="24"/>
      <c r="J635" s="24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</row>
    <row r="636" spans="1:23" x14ac:dyDescent="0.2">
      <c r="A636" s="23"/>
      <c r="B636" s="8"/>
      <c r="C636" s="11"/>
      <c r="D636" s="11"/>
      <c r="E636" s="11"/>
      <c r="F636" s="11"/>
      <c r="G636" s="11"/>
      <c r="H636" s="11"/>
      <c r="I636" s="24"/>
      <c r="J636" s="24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</row>
    <row r="637" spans="1:23" x14ac:dyDescent="0.2">
      <c r="A637" s="23"/>
      <c r="B637" s="8"/>
      <c r="C637" s="11"/>
      <c r="D637" s="11"/>
      <c r="E637" s="11"/>
      <c r="F637" s="11"/>
      <c r="G637" s="11"/>
      <c r="H637" s="11"/>
      <c r="I637" s="24"/>
      <c r="J637" s="24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</row>
    <row r="638" spans="1:23" x14ac:dyDescent="0.2">
      <c r="A638" s="23"/>
      <c r="B638" s="8"/>
      <c r="C638" s="11"/>
      <c r="D638" s="11"/>
      <c r="E638" s="11"/>
      <c r="F638" s="11"/>
      <c r="G638" s="11"/>
      <c r="H638" s="11"/>
      <c r="I638" s="24"/>
      <c r="J638" s="24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</row>
    <row r="639" spans="1:23" x14ac:dyDescent="0.2">
      <c r="A639" s="23"/>
      <c r="B639" s="8"/>
      <c r="C639" s="11"/>
      <c r="D639" s="11"/>
      <c r="E639" s="11"/>
      <c r="F639" s="11"/>
      <c r="G639" s="11"/>
      <c r="H639" s="11"/>
      <c r="I639" s="24"/>
      <c r="J639" s="24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</row>
    <row r="640" spans="1:23" x14ac:dyDescent="0.2">
      <c r="A640" s="23"/>
      <c r="B640" s="8"/>
      <c r="C640" s="11"/>
      <c r="D640" s="11"/>
      <c r="E640" s="11"/>
      <c r="F640" s="11"/>
      <c r="G640" s="11"/>
      <c r="H640" s="11"/>
      <c r="I640" s="24"/>
      <c r="J640" s="24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</row>
    <row r="641" spans="1:23" x14ac:dyDescent="0.2">
      <c r="A641" s="23"/>
      <c r="B641" s="8"/>
      <c r="C641" s="11"/>
      <c r="D641" s="11"/>
      <c r="E641" s="11"/>
      <c r="F641" s="11"/>
      <c r="G641" s="11"/>
      <c r="H641" s="11"/>
      <c r="I641" s="24"/>
      <c r="J641" s="24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</row>
    <row r="642" spans="1:23" x14ac:dyDescent="0.2">
      <c r="A642" s="23"/>
      <c r="B642" s="8"/>
      <c r="C642" s="11"/>
      <c r="D642" s="11"/>
      <c r="E642" s="11"/>
      <c r="F642" s="11"/>
      <c r="G642" s="11"/>
      <c r="H642" s="11"/>
      <c r="I642" s="24"/>
      <c r="J642" s="24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</row>
    <row r="643" spans="1:23" x14ac:dyDescent="0.2">
      <c r="A643" s="23"/>
      <c r="B643" s="8"/>
      <c r="C643" s="11"/>
      <c r="D643" s="11"/>
      <c r="E643" s="11"/>
      <c r="F643" s="11"/>
      <c r="G643" s="11"/>
      <c r="H643" s="11"/>
      <c r="I643" s="24"/>
      <c r="J643" s="24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</row>
    <row r="644" spans="1:23" x14ac:dyDescent="0.2">
      <c r="A644" s="23"/>
      <c r="B644" s="8"/>
      <c r="C644" s="11"/>
      <c r="D644" s="11"/>
      <c r="E644" s="11"/>
      <c r="F644" s="11"/>
      <c r="G644" s="11"/>
      <c r="H644" s="11"/>
      <c r="I644" s="24"/>
      <c r="J644" s="24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</row>
    <row r="645" spans="1:23" x14ac:dyDescent="0.2">
      <c r="A645" s="23"/>
      <c r="B645" s="8"/>
      <c r="C645" s="11"/>
      <c r="D645" s="11"/>
      <c r="E645" s="11"/>
      <c r="F645" s="11"/>
      <c r="G645" s="11"/>
      <c r="H645" s="11"/>
      <c r="I645" s="24"/>
      <c r="J645" s="24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</row>
    <row r="646" spans="1:23" x14ac:dyDescent="0.2">
      <c r="A646" s="23"/>
      <c r="B646" s="8"/>
      <c r="C646" s="11"/>
      <c r="D646" s="11"/>
      <c r="E646" s="11"/>
      <c r="F646" s="11"/>
      <c r="G646" s="11"/>
      <c r="H646" s="11"/>
      <c r="I646" s="24"/>
      <c r="J646" s="24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</row>
    <row r="647" spans="1:23" x14ac:dyDescent="0.2">
      <c r="A647" s="23"/>
      <c r="B647" s="8"/>
      <c r="C647" s="11"/>
      <c r="D647" s="11"/>
      <c r="E647" s="11"/>
      <c r="F647" s="11"/>
      <c r="G647" s="11"/>
      <c r="H647" s="11"/>
      <c r="I647" s="24"/>
      <c r="J647" s="24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</row>
    <row r="648" spans="1:23" x14ac:dyDescent="0.2">
      <c r="A648" s="23"/>
      <c r="B648" s="8"/>
      <c r="C648" s="11"/>
      <c r="D648" s="11"/>
      <c r="E648" s="11"/>
      <c r="F648" s="11"/>
      <c r="G648" s="11"/>
      <c r="H648" s="11"/>
      <c r="I648" s="24"/>
      <c r="J648" s="24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</row>
    <row r="649" spans="1:23" x14ac:dyDescent="0.2">
      <c r="A649" s="23"/>
      <c r="B649" s="8"/>
      <c r="C649" s="11"/>
      <c r="D649" s="11"/>
      <c r="E649" s="11"/>
      <c r="F649" s="11"/>
      <c r="G649" s="11"/>
      <c r="H649" s="11"/>
      <c r="I649" s="24"/>
      <c r="J649" s="24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</row>
    <row r="650" spans="1:23" x14ac:dyDescent="0.2">
      <c r="A650" s="23"/>
      <c r="B650" s="8"/>
      <c r="C650" s="11"/>
      <c r="D650" s="11"/>
      <c r="E650" s="11"/>
      <c r="F650" s="11"/>
      <c r="G650" s="11"/>
      <c r="H650" s="11"/>
      <c r="I650" s="24"/>
      <c r="J650" s="24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</row>
    <row r="651" spans="1:23" x14ac:dyDescent="0.2">
      <c r="A651" s="23"/>
      <c r="B651" s="8"/>
      <c r="C651" s="11"/>
      <c r="D651" s="11"/>
      <c r="E651" s="11"/>
      <c r="F651" s="11"/>
      <c r="G651" s="11"/>
      <c r="H651" s="11"/>
      <c r="I651" s="24"/>
      <c r="J651" s="24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</row>
    <row r="652" spans="1:23" x14ac:dyDescent="0.2">
      <c r="A652" s="23"/>
      <c r="B652" s="8"/>
      <c r="C652" s="11"/>
      <c r="D652" s="11"/>
      <c r="E652" s="11"/>
      <c r="F652" s="11"/>
      <c r="G652" s="11"/>
      <c r="H652" s="11"/>
      <c r="I652" s="24"/>
      <c r="J652" s="24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</row>
    <row r="653" spans="1:23" x14ac:dyDescent="0.2">
      <c r="A653" s="23"/>
      <c r="B653" s="8"/>
      <c r="C653" s="11"/>
      <c r="D653" s="11"/>
      <c r="E653" s="11"/>
      <c r="F653" s="11"/>
      <c r="G653" s="11"/>
      <c r="H653" s="11"/>
      <c r="I653" s="24"/>
      <c r="J653" s="24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</row>
    <row r="654" spans="1:23" x14ac:dyDescent="0.2">
      <c r="A654" s="23"/>
      <c r="B654" s="8"/>
      <c r="C654" s="11"/>
      <c r="D654" s="11"/>
      <c r="E654" s="11"/>
      <c r="F654" s="11"/>
      <c r="G654" s="11"/>
      <c r="H654" s="11"/>
      <c r="I654" s="24"/>
      <c r="J654" s="24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</row>
    <row r="655" spans="1:23" x14ac:dyDescent="0.2">
      <c r="A655" s="23"/>
      <c r="B655" s="8"/>
      <c r="C655" s="11"/>
      <c r="D655" s="11"/>
      <c r="E655" s="11"/>
      <c r="F655" s="11"/>
      <c r="G655" s="11"/>
      <c r="H655" s="11"/>
      <c r="I655" s="24"/>
      <c r="J655" s="24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</row>
    <row r="656" spans="1:23" x14ac:dyDescent="0.2">
      <c r="A656" s="23"/>
      <c r="B656" s="8"/>
      <c r="C656" s="11"/>
      <c r="D656" s="11"/>
      <c r="E656" s="11"/>
      <c r="F656" s="11"/>
      <c r="G656" s="11"/>
      <c r="H656" s="11"/>
      <c r="I656" s="24"/>
      <c r="J656" s="24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</row>
    <row r="657" spans="1:23" x14ac:dyDescent="0.2">
      <c r="A657" s="23"/>
      <c r="B657" s="8"/>
      <c r="C657" s="11"/>
      <c r="D657" s="11"/>
      <c r="E657" s="11"/>
      <c r="F657" s="11"/>
      <c r="G657" s="11"/>
      <c r="H657" s="11"/>
      <c r="I657" s="24"/>
      <c r="J657" s="24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</row>
    <row r="658" spans="1:23" x14ac:dyDescent="0.2">
      <c r="A658" s="23"/>
      <c r="B658" s="8"/>
      <c r="C658" s="11"/>
      <c r="D658" s="11"/>
      <c r="E658" s="11"/>
      <c r="F658" s="11"/>
      <c r="G658" s="11"/>
      <c r="H658" s="11"/>
      <c r="I658" s="24"/>
      <c r="J658" s="24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</row>
    <row r="659" spans="1:23" x14ac:dyDescent="0.2">
      <c r="A659" s="23"/>
      <c r="B659" s="8"/>
      <c r="C659" s="11"/>
      <c r="D659" s="11"/>
      <c r="E659" s="11"/>
      <c r="F659" s="11"/>
      <c r="G659" s="11"/>
      <c r="H659" s="11"/>
      <c r="I659" s="24"/>
      <c r="J659" s="24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</row>
    <row r="660" spans="1:23" x14ac:dyDescent="0.2">
      <c r="A660" s="23"/>
      <c r="B660" s="8"/>
      <c r="C660" s="11"/>
      <c r="D660" s="11"/>
      <c r="E660" s="11"/>
      <c r="F660" s="11"/>
      <c r="G660" s="11"/>
      <c r="H660" s="11"/>
      <c r="I660" s="24"/>
      <c r="J660" s="24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</row>
    <row r="661" spans="1:23" x14ac:dyDescent="0.2">
      <c r="A661" s="23"/>
      <c r="B661" s="8"/>
      <c r="C661" s="11"/>
      <c r="D661" s="11"/>
      <c r="E661" s="11"/>
      <c r="F661" s="11"/>
      <c r="G661" s="11"/>
      <c r="H661" s="11"/>
      <c r="I661" s="24"/>
      <c r="J661" s="24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</row>
    <row r="662" spans="1:23" x14ac:dyDescent="0.2">
      <c r="A662" s="23"/>
      <c r="B662" s="8"/>
      <c r="C662" s="11"/>
      <c r="D662" s="11"/>
      <c r="E662" s="11"/>
      <c r="F662" s="11"/>
      <c r="G662" s="11"/>
      <c r="H662" s="11"/>
      <c r="I662" s="24"/>
      <c r="J662" s="24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</row>
    <row r="663" spans="1:23" x14ac:dyDescent="0.2">
      <c r="A663" s="23"/>
      <c r="B663" s="8"/>
      <c r="C663" s="11"/>
      <c r="D663" s="11"/>
      <c r="E663" s="11"/>
      <c r="F663" s="11"/>
      <c r="G663" s="11"/>
      <c r="H663" s="11"/>
      <c r="I663" s="24"/>
      <c r="J663" s="24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</row>
    <row r="664" spans="1:23" x14ac:dyDescent="0.2">
      <c r="A664" s="23"/>
      <c r="B664" s="8"/>
      <c r="C664" s="11"/>
      <c r="D664" s="11"/>
      <c r="E664" s="11"/>
      <c r="F664" s="11"/>
      <c r="G664" s="11"/>
      <c r="H664" s="11"/>
      <c r="I664" s="24"/>
      <c r="J664" s="24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</row>
    <row r="665" spans="1:23" x14ac:dyDescent="0.2">
      <c r="A665" s="23"/>
      <c r="B665" s="8"/>
      <c r="C665" s="11"/>
      <c r="D665" s="11"/>
      <c r="E665" s="11"/>
      <c r="F665" s="11"/>
      <c r="G665" s="11"/>
      <c r="H665" s="11"/>
      <c r="I665" s="24"/>
      <c r="J665" s="24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</row>
    <row r="666" spans="1:23" x14ac:dyDescent="0.2">
      <c r="A666" s="23"/>
      <c r="B666" s="8"/>
      <c r="C666" s="11"/>
      <c r="D666" s="11"/>
      <c r="E666" s="11"/>
      <c r="F666" s="11"/>
      <c r="G666" s="11"/>
      <c r="H666" s="11"/>
      <c r="I666" s="24"/>
      <c r="J666" s="24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</row>
    <row r="667" spans="1:23" x14ac:dyDescent="0.2">
      <c r="A667" s="23"/>
      <c r="B667" s="8"/>
      <c r="C667" s="11"/>
      <c r="D667" s="11"/>
      <c r="E667" s="11"/>
      <c r="F667" s="11"/>
      <c r="G667" s="11"/>
      <c r="H667" s="11"/>
      <c r="I667" s="24"/>
      <c r="J667" s="24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</row>
    <row r="668" spans="1:23" x14ac:dyDescent="0.2">
      <c r="A668" s="23"/>
      <c r="B668" s="8"/>
      <c r="C668" s="11"/>
      <c r="D668" s="11"/>
      <c r="E668" s="11"/>
      <c r="F668" s="11"/>
      <c r="G668" s="11"/>
      <c r="H668" s="11"/>
      <c r="I668" s="24"/>
      <c r="J668" s="24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</row>
    <row r="669" spans="1:23" x14ac:dyDescent="0.2">
      <c r="A669" s="23"/>
      <c r="B669" s="8"/>
      <c r="C669" s="11"/>
      <c r="D669" s="11"/>
      <c r="E669" s="11"/>
      <c r="F669" s="11"/>
      <c r="G669" s="11"/>
      <c r="H669" s="11"/>
      <c r="I669" s="24"/>
      <c r="J669" s="24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</row>
    <row r="670" spans="1:23" x14ac:dyDescent="0.2">
      <c r="A670" s="23"/>
      <c r="B670" s="8"/>
      <c r="C670" s="11"/>
      <c r="D670" s="11"/>
      <c r="E670" s="11"/>
      <c r="F670" s="11"/>
      <c r="G670" s="11"/>
      <c r="H670" s="11"/>
      <c r="I670" s="24"/>
      <c r="J670" s="24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</row>
    <row r="671" spans="1:23" x14ac:dyDescent="0.2">
      <c r="A671" s="23"/>
      <c r="B671" s="8"/>
      <c r="C671" s="11"/>
      <c r="D671" s="11"/>
      <c r="E671" s="11"/>
      <c r="F671" s="11"/>
      <c r="G671" s="11"/>
      <c r="H671" s="11"/>
      <c r="I671" s="24"/>
      <c r="J671" s="24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</row>
    <row r="672" spans="1:23" x14ac:dyDescent="0.2">
      <c r="A672" s="23"/>
      <c r="B672" s="8"/>
      <c r="C672" s="11"/>
      <c r="D672" s="11"/>
      <c r="E672" s="11"/>
      <c r="F672" s="11"/>
      <c r="G672" s="11"/>
      <c r="H672" s="11"/>
      <c r="I672" s="24"/>
      <c r="J672" s="24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</row>
    <row r="673" spans="1:23" x14ac:dyDescent="0.2">
      <c r="A673" s="23"/>
      <c r="B673" s="8"/>
      <c r="C673" s="11"/>
      <c r="D673" s="11"/>
      <c r="E673" s="11"/>
      <c r="F673" s="11"/>
      <c r="G673" s="11"/>
      <c r="H673" s="11"/>
      <c r="I673" s="24"/>
      <c r="J673" s="24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</row>
    <row r="674" spans="1:23" x14ac:dyDescent="0.2">
      <c r="A674" s="23"/>
      <c r="B674" s="8"/>
      <c r="C674" s="11"/>
      <c r="D674" s="11"/>
      <c r="E674" s="11"/>
      <c r="F674" s="11"/>
      <c r="G674" s="11"/>
      <c r="H674" s="11"/>
      <c r="I674" s="24"/>
      <c r="J674" s="24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</row>
    <row r="675" spans="1:23" x14ac:dyDescent="0.2">
      <c r="A675" s="23"/>
      <c r="B675" s="8"/>
      <c r="C675" s="11"/>
      <c r="D675" s="11"/>
      <c r="E675" s="11"/>
      <c r="F675" s="11"/>
      <c r="G675" s="11"/>
      <c r="H675" s="11"/>
      <c r="I675" s="24"/>
      <c r="J675" s="24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</row>
    <row r="676" spans="1:23" x14ac:dyDescent="0.2">
      <c r="A676" s="23"/>
      <c r="B676" s="8"/>
      <c r="C676" s="11"/>
      <c r="D676" s="11"/>
      <c r="E676" s="11"/>
      <c r="F676" s="11"/>
      <c r="G676" s="11"/>
      <c r="H676" s="11"/>
      <c r="I676" s="24"/>
      <c r="J676" s="24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</row>
    <row r="677" spans="1:23" x14ac:dyDescent="0.2">
      <c r="A677" s="23"/>
      <c r="B677" s="8"/>
      <c r="C677" s="11"/>
      <c r="D677" s="11"/>
      <c r="E677" s="11"/>
      <c r="F677" s="11"/>
      <c r="G677" s="11"/>
      <c r="H677" s="11"/>
      <c r="I677" s="24"/>
      <c r="J677" s="24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</row>
    <row r="678" spans="1:23" x14ac:dyDescent="0.2">
      <c r="A678" s="23"/>
      <c r="B678" s="8"/>
      <c r="C678" s="11"/>
      <c r="D678" s="11"/>
      <c r="E678" s="11"/>
      <c r="F678" s="11"/>
      <c r="G678" s="11"/>
      <c r="H678" s="11"/>
      <c r="I678" s="24"/>
      <c r="J678" s="24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</row>
    <row r="679" spans="1:23" x14ac:dyDescent="0.2">
      <c r="A679" s="23"/>
      <c r="B679" s="8"/>
      <c r="C679" s="11"/>
      <c r="D679" s="11"/>
      <c r="E679" s="11"/>
      <c r="F679" s="11"/>
      <c r="G679" s="11"/>
      <c r="H679" s="11"/>
      <c r="I679" s="24"/>
      <c r="J679" s="24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</row>
    <row r="680" spans="1:23" x14ac:dyDescent="0.2">
      <c r="A680" s="23"/>
      <c r="B680" s="8"/>
      <c r="C680" s="11"/>
      <c r="D680" s="11"/>
      <c r="E680" s="11"/>
      <c r="F680" s="11"/>
      <c r="G680" s="11"/>
      <c r="H680" s="11"/>
      <c r="I680" s="24"/>
      <c r="J680" s="24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</row>
    <row r="681" spans="1:23" x14ac:dyDescent="0.2">
      <c r="A681" s="23"/>
      <c r="B681" s="8"/>
      <c r="C681" s="11"/>
      <c r="D681" s="11"/>
      <c r="E681" s="11"/>
      <c r="F681" s="11"/>
      <c r="G681" s="11"/>
      <c r="H681" s="11"/>
      <c r="I681" s="24"/>
      <c r="J681" s="24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</row>
    <row r="682" spans="1:23" x14ac:dyDescent="0.2">
      <c r="A682" s="23"/>
      <c r="B682" s="8"/>
      <c r="C682" s="11"/>
      <c r="D682" s="11"/>
      <c r="E682" s="11"/>
      <c r="F682" s="11"/>
      <c r="G682" s="11"/>
      <c r="H682" s="11"/>
      <c r="I682" s="24"/>
      <c r="J682" s="24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</row>
    <row r="683" spans="1:23" x14ac:dyDescent="0.2">
      <c r="A683" s="23"/>
      <c r="B683" s="8"/>
      <c r="C683" s="11"/>
      <c r="D683" s="11"/>
      <c r="E683" s="11"/>
      <c r="F683" s="11"/>
      <c r="G683" s="11"/>
      <c r="H683" s="11"/>
      <c r="I683" s="24"/>
      <c r="J683" s="24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</row>
    <row r="684" spans="1:23" x14ac:dyDescent="0.2">
      <c r="A684" s="23"/>
      <c r="B684" s="8"/>
      <c r="C684" s="11"/>
      <c r="D684" s="11"/>
      <c r="E684" s="11"/>
      <c r="F684" s="11"/>
      <c r="G684" s="11"/>
      <c r="H684" s="11"/>
      <c r="I684" s="24"/>
      <c r="J684" s="24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</row>
    <row r="685" spans="1:23" x14ac:dyDescent="0.2">
      <c r="A685" s="23"/>
      <c r="B685" s="8"/>
      <c r="C685" s="11"/>
      <c r="D685" s="11"/>
      <c r="E685" s="11"/>
      <c r="F685" s="11"/>
      <c r="G685" s="11"/>
      <c r="H685" s="11"/>
      <c r="I685" s="24"/>
      <c r="J685" s="24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</row>
    <row r="686" spans="1:23" x14ac:dyDescent="0.2">
      <c r="A686" s="23"/>
      <c r="B686" s="8"/>
      <c r="C686" s="11"/>
      <c r="D686" s="11"/>
      <c r="E686" s="11"/>
      <c r="F686" s="11"/>
      <c r="G686" s="11"/>
      <c r="H686" s="11"/>
      <c r="I686" s="24"/>
      <c r="J686" s="24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</row>
    <row r="687" spans="1:23" x14ac:dyDescent="0.2">
      <c r="A687" s="23"/>
      <c r="B687" s="8"/>
      <c r="C687" s="11"/>
      <c r="D687" s="11"/>
      <c r="E687" s="11"/>
      <c r="F687" s="11"/>
      <c r="G687" s="11"/>
      <c r="H687" s="11"/>
      <c r="I687" s="24"/>
      <c r="J687" s="24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</row>
    <row r="688" spans="1:23" x14ac:dyDescent="0.2">
      <c r="A688" s="23"/>
      <c r="B688" s="8"/>
      <c r="C688" s="11"/>
      <c r="D688" s="11"/>
      <c r="E688" s="11"/>
      <c r="F688" s="11"/>
      <c r="G688" s="11"/>
      <c r="H688" s="11"/>
      <c r="I688" s="24"/>
      <c r="J688" s="24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</row>
    <row r="689" spans="1:23" x14ac:dyDescent="0.2">
      <c r="A689" s="23"/>
      <c r="B689" s="8"/>
      <c r="C689" s="11"/>
      <c r="D689" s="11"/>
      <c r="E689" s="11"/>
      <c r="F689" s="11"/>
      <c r="G689" s="11"/>
      <c r="H689" s="11"/>
      <c r="I689" s="24"/>
      <c r="J689" s="24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</row>
    <row r="690" spans="1:23" x14ac:dyDescent="0.2">
      <c r="A690" s="23"/>
      <c r="B690" s="8"/>
      <c r="C690" s="11"/>
      <c r="D690" s="11"/>
      <c r="E690" s="11"/>
      <c r="F690" s="11"/>
      <c r="G690" s="11"/>
      <c r="H690" s="11"/>
      <c r="I690" s="24"/>
      <c r="J690" s="24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</row>
    <row r="691" spans="1:23" x14ac:dyDescent="0.2">
      <c r="A691" s="23"/>
      <c r="B691" s="8"/>
      <c r="C691" s="11"/>
      <c r="D691" s="11"/>
      <c r="E691" s="11"/>
      <c r="F691" s="11"/>
      <c r="G691" s="11"/>
      <c r="H691" s="11"/>
      <c r="I691" s="24"/>
      <c r="J691" s="24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</row>
    <row r="692" spans="1:23" x14ac:dyDescent="0.2">
      <c r="A692" s="23"/>
      <c r="B692" s="8"/>
      <c r="C692" s="11"/>
      <c r="D692" s="11"/>
      <c r="E692" s="11"/>
      <c r="F692" s="11"/>
      <c r="G692" s="11"/>
      <c r="H692" s="11"/>
      <c r="I692" s="24"/>
      <c r="J692" s="24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</row>
    <row r="693" spans="1:23" x14ac:dyDescent="0.2">
      <c r="A693" s="23"/>
      <c r="B693" s="8"/>
      <c r="C693" s="11"/>
      <c r="D693" s="11"/>
      <c r="E693" s="11"/>
      <c r="F693" s="11"/>
      <c r="G693" s="11"/>
      <c r="H693" s="11"/>
      <c r="I693" s="24"/>
      <c r="J693" s="24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</row>
    <row r="694" spans="1:23" x14ac:dyDescent="0.2">
      <c r="A694" s="23"/>
      <c r="B694" s="8"/>
      <c r="C694" s="11"/>
      <c r="D694" s="11"/>
      <c r="E694" s="11"/>
      <c r="F694" s="11"/>
      <c r="G694" s="11"/>
      <c r="H694" s="11"/>
      <c r="I694" s="24"/>
      <c r="J694" s="24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</row>
    <row r="695" spans="1:23" x14ac:dyDescent="0.2">
      <c r="A695" s="23"/>
      <c r="B695" s="8"/>
      <c r="C695" s="11"/>
      <c r="D695" s="11"/>
      <c r="E695" s="11"/>
      <c r="F695" s="11"/>
      <c r="G695" s="11"/>
      <c r="H695" s="11"/>
      <c r="I695" s="24"/>
      <c r="J695" s="24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</row>
    <row r="696" spans="1:23" x14ac:dyDescent="0.2">
      <c r="A696" s="23"/>
      <c r="B696" s="8"/>
      <c r="C696" s="11"/>
      <c r="D696" s="11"/>
      <c r="E696" s="11"/>
      <c r="F696" s="11"/>
      <c r="G696" s="11"/>
      <c r="H696" s="11"/>
      <c r="I696" s="24"/>
      <c r="J696" s="24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</row>
    <row r="697" spans="1:23" x14ac:dyDescent="0.2">
      <c r="A697" s="23"/>
      <c r="B697" s="8"/>
      <c r="C697" s="11"/>
      <c r="D697" s="11"/>
      <c r="E697" s="11"/>
      <c r="F697" s="11"/>
      <c r="G697" s="11"/>
      <c r="H697" s="11"/>
      <c r="I697" s="24"/>
      <c r="J697" s="24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</row>
    <row r="698" spans="1:23" x14ac:dyDescent="0.2">
      <c r="A698" s="23"/>
      <c r="B698" s="8"/>
      <c r="C698" s="11"/>
      <c r="D698" s="11"/>
      <c r="E698" s="11"/>
      <c r="F698" s="11"/>
      <c r="G698" s="11"/>
      <c r="H698" s="11"/>
      <c r="I698" s="24"/>
      <c r="J698" s="24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</row>
    <row r="699" spans="1:23" x14ac:dyDescent="0.2">
      <c r="A699" s="23"/>
      <c r="B699" s="8"/>
      <c r="C699" s="11"/>
      <c r="D699" s="11"/>
      <c r="E699" s="11"/>
      <c r="F699" s="11"/>
      <c r="G699" s="11"/>
      <c r="H699" s="11"/>
      <c r="I699" s="24"/>
      <c r="J699" s="24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</row>
    <row r="700" spans="1:23" x14ac:dyDescent="0.2">
      <c r="A700" s="23"/>
      <c r="B700" s="8"/>
      <c r="C700" s="11"/>
      <c r="D700" s="11"/>
      <c r="E700" s="11"/>
      <c r="F700" s="11"/>
      <c r="G700" s="11"/>
      <c r="H700" s="11"/>
      <c r="I700" s="24"/>
      <c r="J700" s="24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</row>
    <row r="701" spans="1:23" x14ac:dyDescent="0.2">
      <c r="A701" s="23"/>
      <c r="B701" s="8"/>
      <c r="C701" s="11"/>
      <c r="D701" s="11"/>
      <c r="E701" s="11"/>
      <c r="F701" s="11"/>
      <c r="G701" s="11"/>
      <c r="H701" s="11"/>
      <c r="I701" s="24"/>
      <c r="J701" s="24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</row>
    <row r="702" spans="1:23" x14ac:dyDescent="0.2">
      <c r="A702" s="23"/>
      <c r="B702" s="8"/>
      <c r="C702" s="11"/>
      <c r="D702" s="11"/>
      <c r="E702" s="11"/>
      <c r="F702" s="11"/>
      <c r="G702" s="11"/>
      <c r="H702" s="11"/>
      <c r="I702" s="24"/>
      <c r="J702" s="24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</row>
    <row r="703" spans="1:23" x14ac:dyDescent="0.2">
      <c r="A703" s="23"/>
      <c r="B703" s="8"/>
      <c r="C703" s="11"/>
      <c r="D703" s="11"/>
      <c r="E703" s="11"/>
      <c r="F703" s="11"/>
      <c r="G703" s="11"/>
      <c r="H703" s="11"/>
      <c r="I703" s="24"/>
      <c r="J703" s="24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</row>
    <row r="704" spans="1:23" x14ac:dyDescent="0.2">
      <c r="A704" s="23"/>
      <c r="B704" s="8"/>
      <c r="C704" s="11"/>
      <c r="D704" s="11"/>
      <c r="E704" s="11"/>
      <c r="F704" s="11"/>
      <c r="G704" s="11"/>
      <c r="H704" s="11"/>
      <c r="I704" s="24"/>
      <c r="J704" s="24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</row>
    <row r="705" spans="1:23" x14ac:dyDescent="0.2">
      <c r="A705" s="23"/>
      <c r="B705" s="8"/>
      <c r="C705" s="11"/>
      <c r="D705" s="11"/>
      <c r="E705" s="11"/>
      <c r="F705" s="11"/>
      <c r="G705" s="11"/>
      <c r="H705" s="11"/>
      <c r="I705" s="24"/>
      <c r="J705" s="24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</row>
    <row r="706" spans="1:23" x14ac:dyDescent="0.2">
      <c r="A706" s="23"/>
      <c r="B706" s="8"/>
      <c r="C706" s="11"/>
      <c r="D706" s="11"/>
      <c r="E706" s="11"/>
      <c r="F706" s="11"/>
      <c r="G706" s="11"/>
      <c r="H706" s="11"/>
      <c r="I706" s="24"/>
      <c r="J706" s="24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</row>
    <row r="707" spans="1:23" x14ac:dyDescent="0.2">
      <c r="A707" s="23"/>
      <c r="B707" s="8"/>
      <c r="C707" s="11"/>
      <c r="D707" s="11"/>
      <c r="E707" s="11"/>
      <c r="F707" s="11"/>
      <c r="G707" s="11"/>
      <c r="H707" s="11"/>
      <c r="I707" s="24"/>
      <c r="J707" s="24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</row>
    <row r="708" spans="1:23" x14ac:dyDescent="0.2">
      <c r="A708" s="23"/>
      <c r="B708" s="8"/>
      <c r="C708" s="11"/>
      <c r="D708" s="11"/>
      <c r="E708" s="11"/>
      <c r="F708" s="11"/>
      <c r="G708" s="11"/>
      <c r="H708" s="11"/>
      <c r="I708" s="24"/>
      <c r="J708" s="24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</row>
    <row r="709" spans="1:23" x14ac:dyDescent="0.2">
      <c r="A709" s="23"/>
      <c r="B709" s="8"/>
      <c r="C709" s="11"/>
      <c r="D709" s="11"/>
      <c r="E709" s="11"/>
      <c r="F709" s="11"/>
      <c r="G709" s="11"/>
      <c r="H709" s="11"/>
      <c r="I709" s="24"/>
      <c r="J709" s="24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</row>
    <row r="710" spans="1:23" x14ac:dyDescent="0.2">
      <c r="A710" s="23"/>
      <c r="B710" s="8"/>
      <c r="C710" s="11"/>
      <c r="D710" s="11"/>
      <c r="E710" s="11"/>
      <c r="F710" s="11"/>
      <c r="G710" s="11"/>
      <c r="H710" s="11"/>
      <c r="I710" s="24"/>
      <c r="J710" s="24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</row>
    <row r="711" spans="1:23" x14ac:dyDescent="0.2">
      <c r="A711" s="23"/>
      <c r="B711" s="8"/>
      <c r="C711" s="11"/>
      <c r="D711" s="11"/>
      <c r="E711" s="11"/>
      <c r="F711" s="11"/>
      <c r="G711" s="11"/>
      <c r="H711" s="11"/>
      <c r="I711" s="24"/>
      <c r="J711" s="24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</row>
    <row r="712" spans="1:23" x14ac:dyDescent="0.2">
      <c r="A712" s="23"/>
      <c r="B712" s="8"/>
      <c r="C712" s="11"/>
      <c r="D712" s="11"/>
      <c r="E712" s="11"/>
      <c r="F712" s="11"/>
      <c r="G712" s="11"/>
      <c r="H712" s="11"/>
      <c r="I712" s="24"/>
      <c r="J712" s="24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</row>
    <row r="713" spans="1:23" x14ac:dyDescent="0.2">
      <c r="A713" s="23"/>
      <c r="B713" s="8"/>
      <c r="C713" s="11"/>
      <c r="D713" s="11"/>
      <c r="E713" s="11"/>
      <c r="F713" s="11"/>
      <c r="G713" s="11"/>
      <c r="H713" s="11"/>
      <c r="I713" s="24"/>
      <c r="J713" s="24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</row>
    <row r="714" spans="1:23" x14ac:dyDescent="0.2">
      <c r="A714" s="23"/>
      <c r="B714" s="8"/>
      <c r="C714" s="11"/>
      <c r="D714" s="11"/>
      <c r="E714" s="11"/>
      <c r="F714" s="11"/>
      <c r="G714" s="11"/>
      <c r="H714" s="11"/>
      <c r="I714" s="24"/>
      <c r="J714" s="24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</row>
    <row r="715" spans="1:23" x14ac:dyDescent="0.2">
      <c r="A715" s="23"/>
      <c r="B715" s="8"/>
      <c r="C715" s="11"/>
      <c r="D715" s="11"/>
      <c r="E715" s="11"/>
      <c r="F715" s="11"/>
      <c r="G715" s="11"/>
      <c r="H715" s="11"/>
      <c r="I715" s="24"/>
      <c r="J715" s="24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</row>
    <row r="716" spans="1:23" x14ac:dyDescent="0.2">
      <c r="A716" s="23"/>
      <c r="B716" s="8"/>
      <c r="C716" s="11"/>
      <c r="D716" s="11"/>
      <c r="E716" s="11"/>
      <c r="F716" s="11"/>
      <c r="G716" s="11"/>
      <c r="H716" s="11"/>
      <c r="I716" s="24"/>
      <c r="J716" s="24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</row>
    <row r="717" spans="1:23" x14ac:dyDescent="0.2">
      <c r="A717" s="23"/>
      <c r="B717" s="8"/>
      <c r="C717" s="11"/>
      <c r="D717" s="11"/>
      <c r="E717" s="11"/>
      <c r="F717" s="11"/>
      <c r="G717" s="11"/>
      <c r="H717" s="11"/>
      <c r="I717" s="24"/>
      <c r="J717" s="24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</row>
    <row r="718" spans="1:23" x14ac:dyDescent="0.2">
      <c r="A718" s="23"/>
      <c r="B718" s="8"/>
      <c r="C718" s="11"/>
      <c r="D718" s="11"/>
      <c r="E718" s="11"/>
      <c r="F718" s="11"/>
      <c r="G718" s="11"/>
      <c r="H718" s="11"/>
      <c r="I718" s="24"/>
      <c r="J718" s="24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</row>
    <row r="719" spans="1:23" x14ac:dyDescent="0.2">
      <c r="A719" s="23"/>
      <c r="B719" s="8"/>
      <c r="C719" s="11"/>
      <c r="D719" s="11"/>
      <c r="E719" s="11"/>
      <c r="F719" s="11"/>
      <c r="G719" s="11"/>
      <c r="H719" s="11"/>
      <c r="I719" s="24"/>
      <c r="J719" s="24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</row>
    <row r="720" spans="1:23" x14ac:dyDescent="0.2">
      <c r="A720" s="23"/>
      <c r="B720" s="8"/>
      <c r="C720" s="11"/>
      <c r="D720" s="11"/>
      <c r="E720" s="11"/>
      <c r="F720" s="11"/>
      <c r="G720" s="11"/>
      <c r="H720" s="11"/>
      <c r="I720" s="24"/>
      <c r="J720" s="24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</row>
    <row r="721" spans="1:23" x14ac:dyDescent="0.2">
      <c r="A721" s="23"/>
      <c r="B721" s="8"/>
      <c r="C721" s="11"/>
      <c r="D721" s="11"/>
      <c r="E721" s="11"/>
      <c r="F721" s="11"/>
      <c r="G721" s="11"/>
      <c r="H721" s="11"/>
      <c r="I721" s="24"/>
      <c r="J721" s="24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</row>
    <row r="722" spans="1:23" x14ac:dyDescent="0.2">
      <c r="A722" s="23"/>
      <c r="B722" s="8"/>
      <c r="C722" s="11"/>
      <c r="D722" s="11"/>
      <c r="E722" s="11"/>
      <c r="F722" s="11"/>
      <c r="G722" s="11"/>
      <c r="H722" s="11"/>
      <c r="I722" s="24"/>
      <c r="J722" s="24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</row>
    <row r="723" spans="1:23" x14ac:dyDescent="0.2">
      <c r="A723" s="23"/>
      <c r="B723" s="8"/>
      <c r="C723" s="11"/>
      <c r="D723" s="11"/>
      <c r="E723" s="11"/>
      <c r="F723" s="11"/>
      <c r="G723" s="11"/>
      <c r="H723" s="11"/>
      <c r="I723" s="24"/>
      <c r="J723" s="24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</row>
    <row r="724" spans="1:23" x14ac:dyDescent="0.2">
      <c r="A724" s="23"/>
      <c r="B724" s="8"/>
      <c r="C724" s="11"/>
      <c r="D724" s="11"/>
      <c r="E724" s="11"/>
      <c r="F724" s="11"/>
      <c r="G724" s="11"/>
      <c r="H724" s="11"/>
      <c r="I724" s="24"/>
      <c r="J724" s="24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</row>
    <row r="725" spans="1:23" x14ac:dyDescent="0.2">
      <c r="A725" s="23"/>
      <c r="B725" s="8"/>
      <c r="C725" s="11"/>
      <c r="D725" s="11"/>
      <c r="E725" s="11"/>
      <c r="F725" s="11"/>
      <c r="G725" s="11"/>
      <c r="H725" s="11"/>
      <c r="I725" s="24"/>
      <c r="J725" s="24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</row>
    <row r="726" spans="1:23" x14ac:dyDescent="0.2">
      <c r="A726" s="23"/>
      <c r="B726" s="8"/>
      <c r="C726" s="11"/>
      <c r="D726" s="11"/>
      <c r="E726" s="11"/>
      <c r="F726" s="11"/>
      <c r="G726" s="11"/>
      <c r="H726" s="11"/>
      <c r="I726" s="24"/>
      <c r="J726" s="24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</row>
    <row r="727" spans="1:23" x14ac:dyDescent="0.2">
      <c r="A727" s="23"/>
      <c r="B727" s="8"/>
      <c r="C727" s="11"/>
      <c r="D727" s="11"/>
      <c r="E727" s="11"/>
      <c r="F727" s="11"/>
      <c r="G727" s="11"/>
      <c r="H727" s="11"/>
      <c r="I727" s="24"/>
      <c r="J727" s="24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</row>
    <row r="728" spans="1:23" x14ac:dyDescent="0.2">
      <c r="A728" s="23"/>
      <c r="B728" s="8"/>
      <c r="C728" s="11"/>
      <c r="D728" s="11"/>
      <c r="E728" s="11"/>
      <c r="F728" s="11"/>
      <c r="G728" s="11"/>
      <c r="H728" s="11"/>
      <c r="I728" s="24"/>
      <c r="J728" s="24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</row>
    <row r="729" spans="1:23" x14ac:dyDescent="0.2">
      <c r="A729" s="23"/>
      <c r="B729" s="8"/>
      <c r="C729" s="11"/>
      <c r="D729" s="11"/>
      <c r="E729" s="11"/>
      <c r="F729" s="11"/>
      <c r="G729" s="11"/>
      <c r="H729" s="11"/>
      <c r="I729" s="24"/>
      <c r="J729" s="24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</row>
    <row r="730" spans="1:23" x14ac:dyDescent="0.2">
      <c r="A730" s="23"/>
      <c r="B730" s="8"/>
      <c r="C730" s="11"/>
      <c r="D730" s="11"/>
      <c r="E730" s="11"/>
      <c r="F730" s="11"/>
      <c r="G730" s="11"/>
      <c r="H730" s="11"/>
      <c r="I730" s="24"/>
      <c r="J730" s="24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</row>
    <row r="731" spans="1:23" x14ac:dyDescent="0.2">
      <c r="A731" s="23"/>
      <c r="B731" s="8"/>
      <c r="C731" s="11"/>
      <c r="D731" s="11"/>
      <c r="E731" s="11"/>
      <c r="F731" s="11"/>
      <c r="G731" s="11"/>
      <c r="H731" s="11"/>
      <c r="I731" s="24"/>
      <c r="J731" s="24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</row>
    <row r="732" spans="1:23" x14ac:dyDescent="0.2">
      <c r="A732" s="23"/>
      <c r="B732" s="8"/>
      <c r="C732" s="11"/>
      <c r="D732" s="11"/>
      <c r="E732" s="11"/>
      <c r="F732" s="11"/>
      <c r="G732" s="11"/>
      <c r="H732" s="11"/>
      <c r="I732" s="24"/>
      <c r="J732" s="24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</row>
    <row r="733" spans="1:23" x14ac:dyDescent="0.2">
      <c r="A733" s="23"/>
      <c r="B733" s="8"/>
      <c r="C733" s="11"/>
      <c r="D733" s="11"/>
      <c r="E733" s="11"/>
      <c r="F733" s="11"/>
      <c r="G733" s="11"/>
      <c r="H733" s="11"/>
      <c r="I733" s="24"/>
      <c r="J733" s="24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</row>
    <row r="734" spans="1:23" x14ac:dyDescent="0.2">
      <c r="A734" s="23"/>
      <c r="B734" s="8"/>
      <c r="C734" s="11"/>
      <c r="D734" s="11"/>
      <c r="E734" s="11"/>
      <c r="F734" s="11"/>
      <c r="G734" s="11"/>
      <c r="H734" s="11"/>
      <c r="I734" s="24"/>
      <c r="J734" s="24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</row>
    <row r="735" spans="1:23" x14ac:dyDescent="0.2">
      <c r="A735" s="23"/>
      <c r="B735" s="8"/>
      <c r="C735" s="11"/>
      <c r="D735" s="11"/>
      <c r="E735" s="11"/>
      <c r="F735" s="11"/>
      <c r="G735" s="11"/>
      <c r="H735" s="11"/>
      <c r="I735" s="24"/>
      <c r="J735" s="24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</row>
    <row r="736" spans="1:23" x14ac:dyDescent="0.2">
      <c r="A736" s="23"/>
      <c r="B736" s="8"/>
      <c r="C736" s="11"/>
      <c r="D736" s="11"/>
      <c r="E736" s="11"/>
      <c r="F736" s="11"/>
      <c r="G736" s="11"/>
      <c r="H736" s="11"/>
      <c r="I736" s="24"/>
      <c r="J736" s="24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</row>
    <row r="737" spans="1:23" x14ac:dyDescent="0.2">
      <c r="A737" s="23"/>
      <c r="B737" s="8"/>
      <c r="C737" s="11"/>
      <c r="D737" s="11"/>
      <c r="E737" s="11"/>
      <c r="F737" s="11"/>
      <c r="G737" s="11"/>
      <c r="H737" s="11"/>
      <c r="I737" s="24"/>
      <c r="J737" s="24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</row>
    <row r="738" spans="1:23" x14ac:dyDescent="0.2">
      <c r="A738" s="23"/>
      <c r="B738" s="8"/>
      <c r="C738" s="11"/>
      <c r="D738" s="11"/>
      <c r="E738" s="11"/>
      <c r="F738" s="11"/>
      <c r="G738" s="11"/>
      <c r="H738" s="11"/>
      <c r="I738" s="24"/>
      <c r="J738" s="24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</row>
    <row r="739" spans="1:23" x14ac:dyDescent="0.2">
      <c r="A739" s="23"/>
      <c r="B739" s="8"/>
      <c r="C739" s="11"/>
      <c r="D739" s="11"/>
      <c r="E739" s="11"/>
      <c r="F739" s="11"/>
      <c r="G739" s="11"/>
      <c r="H739" s="11"/>
      <c r="I739" s="24"/>
      <c r="J739" s="24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</row>
    <row r="740" spans="1:23" x14ac:dyDescent="0.2">
      <c r="A740" s="23"/>
      <c r="B740" s="8"/>
      <c r="C740" s="11"/>
      <c r="D740" s="11"/>
      <c r="E740" s="11"/>
      <c r="F740" s="11"/>
      <c r="G740" s="11"/>
      <c r="H740" s="11"/>
      <c r="I740" s="24"/>
      <c r="J740" s="24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</row>
    <row r="741" spans="1:23" x14ac:dyDescent="0.2">
      <c r="A741" s="23"/>
      <c r="B741" s="8"/>
      <c r="C741" s="11"/>
      <c r="D741" s="11"/>
      <c r="E741" s="11"/>
      <c r="F741" s="11"/>
      <c r="G741" s="11"/>
      <c r="H741" s="11"/>
      <c r="I741" s="24"/>
      <c r="J741" s="24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</row>
    <row r="742" spans="1:23" x14ac:dyDescent="0.2">
      <c r="A742" s="23"/>
      <c r="B742" s="8"/>
      <c r="C742" s="11"/>
      <c r="D742" s="11"/>
      <c r="E742" s="11"/>
      <c r="F742" s="11"/>
      <c r="G742" s="11"/>
      <c r="H742" s="11"/>
      <c r="I742" s="24"/>
      <c r="J742" s="24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</row>
    <row r="743" spans="1:23" x14ac:dyDescent="0.2">
      <c r="A743" s="23"/>
      <c r="B743" s="8"/>
      <c r="C743" s="11"/>
      <c r="D743" s="11"/>
      <c r="E743" s="11"/>
      <c r="F743" s="11"/>
      <c r="G743" s="11"/>
      <c r="H743" s="11"/>
      <c r="I743" s="24"/>
      <c r="J743" s="24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</row>
    <row r="744" spans="1:23" x14ac:dyDescent="0.2">
      <c r="A744" s="23"/>
      <c r="B744" s="8"/>
      <c r="C744" s="11"/>
      <c r="D744" s="11"/>
      <c r="E744" s="11"/>
      <c r="F744" s="11"/>
      <c r="G744" s="11"/>
      <c r="H744" s="11"/>
      <c r="I744" s="24"/>
      <c r="J744" s="24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</row>
    <row r="745" spans="1:23" x14ac:dyDescent="0.2">
      <c r="A745" s="23"/>
      <c r="B745" s="8"/>
      <c r="C745" s="11"/>
      <c r="D745" s="11"/>
      <c r="E745" s="11"/>
      <c r="F745" s="11"/>
      <c r="G745" s="11"/>
      <c r="H745" s="11"/>
      <c r="I745" s="24"/>
      <c r="J745" s="24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</row>
    <row r="746" spans="1:23" x14ac:dyDescent="0.2">
      <c r="A746" s="23"/>
      <c r="B746" s="8"/>
      <c r="C746" s="11"/>
      <c r="D746" s="11"/>
      <c r="E746" s="11"/>
      <c r="F746" s="11"/>
      <c r="G746" s="11"/>
      <c r="H746" s="11"/>
      <c r="I746" s="24"/>
      <c r="J746" s="24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</row>
    <row r="747" spans="1:23" x14ac:dyDescent="0.2">
      <c r="A747" s="23"/>
      <c r="B747" s="8"/>
      <c r="C747" s="11"/>
      <c r="D747" s="11"/>
      <c r="E747" s="11"/>
      <c r="F747" s="11"/>
      <c r="G747" s="11"/>
      <c r="H747" s="11"/>
      <c r="I747" s="24"/>
      <c r="J747" s="24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</row>
    <row r="748" spans="1:23" x14ac:dyDescent="0.2">
      <c r="A748" s="23"/>
      <c r="B748" s="8"/>
      <c r="C748" s="11"/>
      <c r="D748" s="11"/>
      <c r="E748" s="11"/>
      <c r="F748" s="11"/>
      <c r="G748" s="11"/>
      <c r="H748" s="11"/>
      <c r="I748" s="24"/>
      <c r="J748" s="24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</row>
    <row r="749" spans="1:23" x14ac:dyDescent="0.2">
      <c r="A749" s="23"/>
      <c r="B749" s="8"/>
      <c r="C749" s="11"/>
      <c r="D749" s="11"/>
      <c r="E749" s="11"/>
      <c r="F749" s="11"/>
      <c r="G749" s="11"/>
      <c r="H749" s="11"/>
      <c r="I749" s="24"/>
      <c r="J749" s="24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</row>
    <row r="750" spans="1:23" x14ac:dyDescent="0.2">
      <c r="A750" s="23"/>
      <c r="B750" s="8"/>
      <c r="C750" s="11"/>
      <c r="D750" s="11"/>
      <c r="E750" s="11"/>
      <c r="F750" s="11"/>
      <c r="G750" s="11"/>
      <c r="H750" s="11"/>
      <c r="I750" s="24"/>
      <c r="J750" s="24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</row>
    <row r="751" spans="1:23" x14ac:dyDescent="0.2">
      <c r="A751" s="23"/>
      <c r="B751" s="8"/>
      <c r="C751" s="11"/>
      <c r="D751" s="11"/>
      <c r="E751" s="11"/>
      <c r="F751" s="11"/>
      <c r="G751" s="11"/>
      <c r="H751" s="11"/>
      <c r="I751" s="24"/>
      <c r="J751" s="24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</row>
    <row r="752" spans="1:23" x14ac:dyDescent="0.2">
      <c r="A752" s="23"/>
      <c r="B752" s="8"/>
      <c r="C752" s="11"/>
      <c r="D752" s="11"/>
      <c r="E752" s="11"/>
      <c r="F752" s="11"/>
      <c r="G752" s="11"/>
      <c r="H752" s="11"/>
      <c r="I752" s="24"/>
      <c r="J752" s="24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</row>
    <row r="753" spans="1:23" x14ac:dyDescent="0.2">
      <c r="A753" s="23"/>
      <c r="B753" s="8"/>
      <c r="C753" s="11"/>
      <c r="D753" s="11"/>
      <c r="E753" s="11"/>
      <c r="F753" s="11"/>
      <c r="G753" s="11"/>
      <c r="H753" s="11"/>
      <c r="I753" s="24"/>
      <c r="J753" s="24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</row>
    <row r="754" spans="1:23" x14ac:dyDescent="0.2">
      <c r="A754" s="23"/>
      <c r="B754" s="8"/>
      <c r="C754" s="11"/>
      <c r="D754" s="11"/>
      <c r="E754" s="11"/>
      <c r="F754" s="11"/>
      <c r="G754" s="11"/>
      <c r="H754" s="11"/>
      <c r="I754" s="24"/>
      <c r="J754" s="24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</row>
    <row r="755" spans="1:23" x14ac:dyDescent="0.2">
      <c r="A755" s="23"/>
      <c r="B755" s="8"/>
      <c r="C755" s="11"/>
      <c r="D755" s="11"/>
      <c r="E755" s="11"/>
      <c r="F755" s="11"/>
      <c r="G755" s="11"/>
      <c r="H755" s="11"/>
      <c r="I755" s="24"/>
      <c r="J755" s="24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</row>
    <row r="756" spans="1:23" x14ac:dyDescent="0.2">
      <c r="A756" s="23"/>
      <c r="B756" s="8"/>
      <c r="C756" s="11"/>
      <c r="D756" s="11"/>
      <c r="E756" s="11"/>
      <c r="F756" s="11"/>
      <c r="G756" s="11"/>
      <c r="H756" s="11"/>
      <c r="I756" s="24"/>
      <c r="J756" s="24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</row>
    <row r="757" spans="1:23" x14ac:dyDescent="0.2">
      <c r="A757" s="23"/>
      <c r="B757" s="8"/>
      <c r="C757" s="11"/>
      <c r="D757" s="11"/>
      <c r="E757" s="11"/>
      <c r="F757" s="11"/>
      <c r="G757" s="11"/>
      <c r="H757" s="11"/>
      <c r="I757" s="24"/>
      <c r="J757" s="24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</row>
    <row r="758" spans="1:23" x14ac:dyDescent="0.2">
      <c r="A758" s="23"/>
      <c r="B758" s="8"/>
      <c r="C758" s="11"/>
      <c r="D758" s="11"/>
      <c r="E758" s="11"/>
      <c r="F758" s="11"/>
      <c r="G758" s="11"/>
      <c r="H758" s="11"/>
      <c r="I758" s="24"/>
      <c r="J758" s="24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</row>
    <row r="759" spans="1:23" x14ac:dyDescent="0.2">
      <c r="A759" s="23"/>
      <c r="B759" s="8"/>
      <c r="C759" s="11"/>
      <c r="D759" s="11"/>
      <c r="E759" s="11"/>
      <c r="F759" s="11"/>
      <c r="G759" s="11"/>
      <c r="H759" s="11"/>
      <c r="I759" s="24"/>
      <c r="J759" s="24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</row>
    <row r="760" spans="1:23" x14ac:dyDescent="0.2">
      <c r="A760" s="23"/>
      <c r="B760" s="8"/>
      <c r="C760" s="11"/>
      <c r="D760" s="11"/>
      <c r="E760" s="11"/>
      <c r="F760" s="11"/>
      <c r="G760" s="11"/>
      <c r="H760" s="11"/>
      <c r="I760" s="24"/>
      <c r="J760" s="24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</row>
    <row r="761" spans="1:23" x14ac:dyDescent="0.2">
      <c r="A761" s="23"/>
      <c r="B761" s="8"/>
      <c r="C761" s="11"/>
      <c r="D761" s="11"/>
      <c r="E761" s="11"/>
      <c r="F761" s="11"/>
      <c r="G761" s="11"/>
      <c r="H761" s="11"/>
      <c r="I761" s="24"/>
      <c r="J761" s="24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</row>
    <row r="762" spans="1:23" x14ac:dyDescent="0.2">
      <c r="A762" s="23"/>
      <c r="B762" s="8"/>
      <c r="C762" s="11"/>
      <c r="D762" s="11"/>
      <c r="E762" s="11"/>
      <c r="F762" s="11"/>
      <c r="G762" s="11"/>
      <c r="H762" s="11"/>
      <c r="I762" s="24"/>
      <c r="J762" s="24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</row>
    <row r="763" spans="1:23" x14ac:dyDescent="0.2">
      <c r="A763" s="23"/>
      <c r="B763" s="8"/>
      <c r="C763" s="11"/>
      <c r="D763" s="11"/>
      <c r="E763" s="11"/>
      <c r="F763" s="11"/>
      <c r="G763" s="11"/>
      <c r="H763" s="11"/>
      <c r="I763" s="24"/>
      <c r="J763" s="24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</row>
    <row r="764" spans="1:23" x14ac:dyDescent="0.2">
      <c r="A764" s="23"/>
      <c r="B764" s="8"/>
      <c r="C764" s="11"/>
      <c r="D764" s="11"/>
      <c r="E764" s="11"/>
      <c r="F764" s="11"/>
      <c r="G764" s="11"/>
      <c r="H764" s="11"/>
      <c r="I764" s="24"/>
      <c r="J764" s="24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</row>
    <row r="765" spans="1:23" x14ac:dyDescent="0.2">
      <c r="A765" s="23"/>
      <c r="B765" s="8"/>
      <c r="C765" s="11"/>
      <c r="D765" s="11"/>
      <c r="E765" s="11"/>
      <c r="F765" s="11"/>
      <c r="G765" s="11"/>
      <c r="H765" s="11"/>
      <c r="I765" s="24"/>
      <c r="J765" s="24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</row>
    <row r="766" spans="1:23" x14ac:dyDescent="0.2">
      <c r="A766" s="23"/>
      <c r="B766" s="8"/>
      <c r="C766" s="11"/>
      <c r="D766" s="11"/>
      <c r="E766" s="11"/>
      <c r="F766" s="11"/>
      <c r="G766" s="11"/>
      <c r="H766" s="11"/>
      <c r="I766" s="24"/>
      <c r="J766" s="24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</row>
    <row r="767" spans="1:23" x14ac:dyDescent="0.2">
      <c r="A767" s="23"/>
      <c r="B767" s="8"/>
      <c r="C767" s="11"/>
      <c r="D767" s="11"/>
      <c r="E767" s="11"/>
      <c r="F767" s="11"/>
      <c r="G767" s="11"/>
      <c r="H767" s="11"/>
      <c r="I767" s="24"/>
      <c r="J767" s="24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</row>
    <row r="768" spans="1:23" x14ac:dyDescent="0.2">
      <c r="A768" s="23"/>
      <c r="B768" s="8"/>
      <c r="C768" s="11"/>
      <c r="D768" s="11"/>
      <c r="E768" s="11"/>
      <c r="F768" s="11"/>
      <c r="G768" s="11"/>
      <c r="H768" s="11"/>
      <c r="I768" s="24"/>
      <c r="J768" s="24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</row>
    <row r="769" spans="1:23" x14ac:dyDescent="0.2">
      <c r="A769" s="23"/>
      <c r="B769" s="8"/>
      <c r="C769" s="11"/>
      <c r="D769" s="11"/>
      <c r="E769" s="11"/>
      <c r="F769" s="11"/>
      <c r="G769" s="11"/>
      <c r="H769" s="11"/>
      <c r="I769" s="24"/>
      <c r="J769" s="24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</row>
    <row r="770" spans="1:23" x14ac:dyDescent="0.2">
      <c r="A770" s="23"/>
      <c r="B770" s="8"/>
      <c r="C770" s="11"/>
      <c r="D770" s="11"/>
      <c r="E770" s="11"/>
      <c r="F770" s="11"/>
      <c r="G770" s="11"/>
      <c r="H770" s="11"/>
      <c r="I770" s="24"/>
      <c r="J770" s="24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</row>
    <row r="771" spans="1:23" x14ac:dyDescent="0.2">
      <c r="A771" s="23"/>
      <c r="B771" s="8"/>
      <c r="C771" s="11"/>
      <c r="D771" s="11"/>
      <c r="E771" s="11"/>
      <c r="F771" s="11"/>
      <c r="G771" s="11"/>
      <c r="H771" s="11"/>
      <c r="I771" s="24"/>
      <c r="J771" s="24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</row>
    <row r="772" spans="1:23" x14ac:dyDescent="0.2">
      <c r="A772" s="23"/>
      <c r="B772" s="8"/>
      <c r="C772" s="11"/>
      <c r="D772" s="11"/>
      <c r="E772" s="11"/>
      <c r="F772" s="11"/>
      <c r="G772" s="11"/>
      <c r="H772" s="11"/>
      <c r="I772" s="24"/>
      <c r="J772" s="24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</row>
    <row r="773" spans="1:23" x14ac:dyDescent="0.2">
      <c r="A773" s="23"/>
      <c r="B773" s="8"/>
      <c r="C773" s="11"/>
      <c r="D773" s="11"/>
      <c r="E773" s="11"/>
      <c r="F773" s="11"/>
      <c r="G773" s="11"/>
      <c r="H773" s="11"/>
      <c r="I773" s="24"/>
      <c r="J773" s="24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</row>
    <row r="774" spans="1:23" x14ac:dyDescent="0.2">
      <c r="A774" s="23"/>
      <c r="B774" s="8"/>
      <c r="C774" s="11"/>
      <c r="D774" s="11"/>
      <c r="E774" s="11"/>
      <c r="F774" s="11"/>
      <c r="G774" s="11"/>
      <c r="H774" s="11"/>
      <c r="I774" s="24"/>
      <c r="J774" s="24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</row>
    <row r="775" spans="1:23" x14ac:dyDescent="0.2">
      <c r="A775" s="23"/>
      <c r="B775" s="8"/>
      <c r="C775" s="11"/>
      <c r="D775" s="11"/>
      <c r="E775" s="11"/>
      <c r="F775" s="11"/>
      <c r="G775" s="11"/>
      <c r="H775" s="11"/>
      <c r="I775" s="24"/>
      <c r="J775" s="24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</row>
    <row r="776" spans="1:23" x14ac:dyDescent="0.2">
      <c r="A776" s="23"/>
      <c r="B776" s="8"/>
      <c r="C776" s="11"/>
      <c r="D776" s="11"/>
      <c r="E776" s="11"/>
      <c r="F776" s="11"/>
      <c r="G776" s="11"/>
      <c r="H776" s="11"/>
      <c r="I776" s="24"/>
      <c r="J776" s="24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</row>
    <row r="777" spans="1:23" x14ac:dyDescent="0.2">
      <c r="A777" s="23"/>
      <c r="B777" s="8"/>
      <c r="C777" s="11"/>
      <c r="D777" s="11"/>
      <c r="E777" s="11"/>
      <c r="F777" s="11"/>
      <c r="G777" s="11"/>
      <c r="H777" s="11"/>
      <c r="I777" s="24"/>
      <c r="J777" s="24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</row>
    <row r="778" spans="1:23" x14ac:dyDescent="0.2">
      <c r="A778" s="23"/>
      <c r="B778" s="8"/>
      <c r="C778" s="11"/>
      <c r="D778" s="11"/>
      <c r="E778" s="11"/>
      <c r="F778" s="11"/>
      <c r="G778" s="11"/>
      <c r="H778" s="11"/>
      <c r="I778" s="24"/>
      <c r="J778" s="24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</row>
    <row r="779" spans="1:23" x14ac:dyDescent="0.2">
      <c r="A779" s="23"/>
      <c r="B779" s="8"/>
      <c r="C779" s="11"/>
      <c r="D779" s="11"/>
      <c r="E779" s="11"/>
      <c r="F779" s="11"/>
      <c r="G779" s="11"/>
      <c r="H779" s="11"/>
      <c r="I779" s="24"/>
      <c r="J779" s="24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</row>
    <row r="780" spans="1:23" x14ac:dyDescent="0.2">
      <c r="A780" s="23"/>
      <c r="B780" s="8"/>
      <c r="C780" s="11"/>
      <c r="D780" s="11"/>
      <c r="E780" s="11"/>
      <c r="F780" s="11"/>
      <c r="G780" s="11"/>
      <c r="H780" s="11"/>
      <c r="I780" s="24"/>
      <c r="J780" s="24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</row>
    <row r="781" spans="1:23" x14ac:dyDescent="0.2">
      <c r="A781" s="23"/>
      <c r="B781" s="8"/>
      <c r="C781" s="11"/>
      <c r="D781" s="11"/>
      <c r="E781" s="11"/>
      <c r="F781" s="11"/>
      <c r="G781" s="11"/>
      <c r="H781" s="11"/>
      <c r="I781" s="24"/>
      <c r="J781" s="24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</row>
    <row r="782" spans="1:23" x14ac:dyDescent="0.2">
      <c r="A782" s="23"/>
      <c r="B782" s="8"/>
      <c r="C782" s="11"/>
      <c r="D782" s="11"/>
      <c r="E782" s="11"/>
      <c r="F782" s="11"/>
      <c r="G782" s="11"/>
      <c r="H782" s="11"/>
      <c r="I782" s="24"/>
      <c r="J782" s="24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</row>
    <row r="783" spans="1:23" x14ac:dyDescent="0.2">
      <c r="A783" s="23"/>
      <c r="B783" s="8"/>
      <c r="C783" s="11"/>
      <c r="D783" s="11"/>
      <c r="E783" s="11"/>
      <c r="F783" s="11"/>
      <c r="G783" s="11"/>
      <c r="H783" s="11"/>
      <c r="I783" s="24"/>
      <c r="J783" s="24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</row>
    <row r="784" spans="1:23" x14ac:dyDescent="0.2">
      <c r="A784" s="23"/>
      <c r="B784" s="8"/>
      <c r="C784" s="11"/>
      <c r="D784" s="11"/>
      <c r="E784" s="11"/>
      <c r="F784" s="11"/>
      <c r="G784" s="11"/>
      <c r="H784" s="11"/>
      <c r="I784" s="24"/>
      <c r="J784" s="24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</row>
    <row r="785" spans="1:23" x14ac:dyDescent="0.2">
      <c r="A785" s="23"/>
      <c r="B785" s="8"/>
      <c r="C785" s="11"/>
      <c r="D785" s="11"/>
      <c r="E785" s="11"/>
      <c r="F785" s="11"/>
      <c r="G785" s="11"/>
      <c r="H785" s="11"/>
      <c r="I785" s="24"/>
      <c r="J785" s="24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</row>
    <row r="786" spans="1:23" x14ac:dyDescent="0.2">
      <c r="A786" s="23"/>
      <c r="B786" s="8"/>
      <c r="C786" s="11"/>
      <c r="D786" s="11"/>
      <c r="E786" s="11"/>
      <c r="F786" s="11"/>
      <c r="G786" s="11"/>
      <c r="H786" s="11"/>
      <c r="I786" s="24"/>
      <c r="J786" s="24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</row>
    <row r="787" spans="1:23" x14ac:dyDescent="0.2">
      <c r="A787" s="23"/>
      <c r="B787" s="8"/>
      <c r="C787" s="11"/>
      <c r="D787" s="11"/>
      <c r="E787" s="11"/>
      <c r="F787" s="11"/>
      <c r="G787" s="11"/>
      <c r="H787" s="11"/>
      <c r="I787" s="24"/>
      <c r="J787" s="24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</row>
    <row r="788" spans="1:23" x14ac:dyDescent="0.2">
      <c r="A788" s="23"/>
      <c r="B788" s="8"/>
      <c r="C788" s="11"/>
      <c r="D788" s="11"/>
      <c r="E788" s="11"/>
      <c r="F788" s="11"/>
      <c r="G788" s="11"/>
      <c r="H788" s="11"/>
      <c r="I788" s="24"/>
      <c r="J788" s="24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</row>
    <row r="789" spans="1:23" x14ac:dyDescent="0.2">
      <c r="A789" s="23"/>
      <c r="B789" s="8"/>
      <c r="C789" s="11"/>
      <c r="D789" s="11"/>
      <c r="E789" s="11"/>
      <c r="F789" s="11"/>
      <c r="G789" s="11"/>
      <c r="H789" s="11"/>
      <c r="I789" s="24"/>
      <c r="J789" s="24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</row>
    <row r="790" spans="1:23" x14ac:dyDescent="0.2">
      <c r="A790" s="23"/>
      <c r="B790" s="8"/>
      <c r="C790" s="11"/>
      <c r="D790" s="11"/>
      <c r="E790" s="11"/>
      <c r="F790" s="11"/>
      <c r="G790" s="11"/>
      <c r="H790" s="11"/>
      <c r="I790" s="24"/>
      <c r="J790" s="24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</row>
    <row r="791" spans="1:23" x14ac:dyDescent="0.2">
      <c r="A791" s="23"/>
      <c r="B791" s="8"/>
      <c r="C791" s="11"/>
      <c r="D791" s="11"/>
      <c r="E791" s="11"/>
      <c r="F791" s="11"/>
      <c r="G791" s="11"/>
      <c r="H791" s="11"/>
      <c r="I791" s="24"/>
      <c r="J791" s="24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</row>
    <row r="792" spans="1:23" x14ac:dyDescent="0.2">
      <c r="A792" s="23"/>
      <c r="B792" s="8"/>
      <c r="C792" s="11"/>
      <c r="D792" s="11"/>
      <c r="E792" s="11"/>
      <c r="F792" s="11"/>
      <c r="G792" s="11"/>
      <c r="H792" s="11"/>
      <c r="I792" s="24"/>
      <c r="J792" s="24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</row>
    <row r="793" spans="1:23" x14ac:dyDescent="0.2">
      <c r="A793" s="23"/>
      <c r="B793" s="8"/>
      <c r="C793" s="11"/>
      <c r="D793" s="11"/>
      <c r="E793" s="11"/>
      <c r="F793" s="11"/>
      <c r="G793" s="11"/>
      <c r="H793" s="11"/>
      <c r="I793" s="24"/>
      <c r="J793" s="24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</row>
    <row r="794" spans="1:23" x14ac:dyDescent="0.2">
      <c r="A794" s="23"/>
      <c r="B794" s="8"/>
      <c r="C794" s="11"/>
      <c r="D794" s="11"/>
      <c r="E794" s="11"/>
      <c r="F794" s="11"/>
      <c r="G794" s="11"/>
      <c r="H794" s="11"/>
      <c r="I794" s="24"/>
      <c r="J794" s="24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</row>
    <row r="795" spans="1:23" x14ac:dyDescent="0.2">
      <c r="A795" s="23"/>
      <c r="B795" s="8"/>
      <c r="C795" s="11"/>
      <c r="D795" s="11"/>
      <c r="E795" s="11"/>
      <c r="F795" s="11"/>
      <c r="G795" s="11"/>
      <c r="H795" s="11"/>
      <c r="I795" s="24"/>
      <c r="J795" s="24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</row>
    <row r="796" spans="1:23" x14ac:dyDescent="0.2">
      <c r="A796" s="23"/>
      <c r="B796" s="8"/>
      <c r="C796" s="11"/>
      <c r="D796" s="11"/>
      <c r="E796" s="11"/>
      <c r="F796" s="11"/>
      <c r="G796" s="11"/>
      <c r="H796" s="11"/>
      <c r="I796" s="24"/>
      <c r="J796" s="24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</row>
    <row r="797" spans="1:23" x14ac:dyDescent="0.2">
      <c r="A797" s="23"/>
      <c r="B797" s="8"/>
      <c r="C797" s="11"/>
      <c r="D797" s="11"/>
      <c r="E797" s="11"/>
      <c r="F797" s="11"/>
      <c r="G797" s="11"/>
      <c r="H797" s="11"/>
      <c r="I797" s="24"/>
      <c r="J797" s="24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</row>
    <row r="798" spans="1:23" x14ac:dyDescent="0.2">
      <c r="A798" s="23"/>
      <c r="B798" s="8"/>
      <c r="C798" s="11"/>
      <c r="D798" s="11"/>
      <c r="E798" s="11"/>
      <c r="F798" s="11"/>
      <c r="G798" s="11"/>
      <c r="H798" s="11"/>
      <c r="I798" s="24"/>
      <c r="J798" s="24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</row>
    <row r="799" spans="1:23" x14ac:dyDescent="0.2">
      <c r="A799" s="23"/>
      <c r="B799" s="8"/>
      <c r="C799" s="11"/>
      <c r="D799" s="11"/>
      <c r="E799" s="11"/>
      <c r="F799" s="11"/>
      <c r="G799" s="11"/>
      <c r="H799" s="11"/>
      <c r="I799" s="24"/>
      <c r="J799" s="24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</row>
    <row r="800" spans="1:23" x14ac:dyDescent="0.2">
      <c r="A800" s="23"/>
      <c r="B800" s="8"/>
      <c r="C800" s="11"/>
      <c r="D800" s="11"/>
      <c r="E800" s="11"/>
      <c r="F800" s="11"/>
      <c r="G800" s="11"/>
      <c r="H800" s="11"/>
      <c r="I800" s="24"/>
      <c r="J800" s="24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</row>
    <row r="801" spans="1:23" x14ac:dyDescent="0.2">
      <c r="A801" s="23"/>
      <c r="B801" s="8"/>
      <c r="C801" s="11"/>
      <c r="D801" s="11"/>
      <c r="E801" s="11"/>
      <c r="F801" s="11"/>
      <c r="G801" s="11"/>
      <c r="H801" s="11"/>
      <c r="I801" s="24"/>
      <c r="J801" s="24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</row>
    <row r="802" spans="1:23" x14ac:dyDescent="0.2">
      <c r="A802" s="23"/>
      <c r="B802" s="8"/>
      <c r="C802" s="11"/>
      <c r="D802" s="11"/>
      <c r="E802" s="11"/>
      <c r="F802" s="11"/>
      <c r="G802" s="11"/>
      <c r="H802" s="11"/>
      <c r="I802" s="24"/>
      <c r="J802" s="24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</row>
    <row r="803" spans="1:23" x14ac:dyDescent="0.2">
      <c r="A803" s="23"/>
      <c r="B803" s="8"/>
      <c r="C803" s="11"/>
      <c r="D803" s="11"/>
      <c r="E803" s="11"/>
      <c r="F803" s="11"/>
      <c r="G803" s="11"/>
      <c r="H803" s="11"/>
      <c r="I803" s="24"/>
      <c r="J803" s="24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</row>
    <row r="804" spans="1:23" x14ac:dyDescent="0.2">
      <c r="A804" s="23"/>
      <c r="B804" s="8"/>
      <c r="C804" s="11"/>
      <c r="D804" s="11"/>
      <c r="E804" s="11"/>
      <c r="F804" s="11"/>
      <c r="G804" s="11"/>
      <c r="H804" s="11"/>
      <c r="I804" s="24"/>
      <c r="J804" s="24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</row>
    <row r="805" spans="1:23" x14ac:dyDescent="0.2">
      <c r="A805" s="23"/>
      <c r="B805" s="8"/>
      <c r="C805" s="11"/>
      <c r="D805" s="11"/>
      <c r="E805" s="11"/>
      <c r="F805" s="11"/>
      <c r="G805" s="11"/>
      <c r="H805" s="11"/>
      <c r="I805" s="24"/>
      <c r="J805" s="24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</row>
    <row r="806" spans="1:23" x14ac:dyDescent="0.2">
      <c r="A806" s="23"/>
      <c r="B806" s="8"/>
      <c r="C806" s="11"/>
      <c r="D806" s="11"/>
      <c r="E806" s="11"/>
      <c r="F806" s="11"/>
      <c r="G806" s="11"/>
      <c r="H806" s="11"/>
      <c r="I806" s="24"/>
      <c r="J806" s="24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</row>
    <row r="807" spans="1:23" x14ac:dyDescent="0.2">
      <c r="A807" s="23"/>
      <c r="B807" s="8"/>
      <c r="C807" s="11"/>
      <c r="D807" s="11"/>
      <c r="E807" s="11"/>
      <c r="F807" s="11"/>
      <c r="G807" s="11"/>
      <c r="H807" s="11"/>
      <c r="I807" s="24"/>
      <c r="J807" s="24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</row>
    <row r="808" spans="1:23" x14ac:dyDescent="0.2">
      <c r="A808" s="23"/>
      <c r="B808" s="8"/>
      <c r="C808" s="11"/>
      <c r="D808" s="11"/>
      <c r="E808" s="11"/>
      <c r="F808" s="11"/>
      <c r="G808" s="11"/>
      <c r="H808" s="11"/>
      <c r="I808" s="24"/>
      <c r="J808" s="24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</row>
    <row r="809" spans="1:23" x14ac:dyDescent="0.2">
      <c r="A809" s="23"/>
      <c r="B809" s="8"/>
      <c r="C809" s="11"/>
      <c r="D809" s="11"/>
      <c r="E809" s="11"/>
      <c r="F809" s="11"/>
      <c r="G809" s="11"/>
      <c r="H809" s="11"/>
      <c r="I809" s="24"/>
      <c r="J809" s="24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</row>
    <row r="810" spans="1:23" x14ac:dyDescent="0.2">
      <c r="A810" s="23"/>
      <c r="B810" s="8"/>
      <c r="C810" s="11"/>
      <c r="D810" s="11"/>
      <c r="E810" s="11"/>
      <c r="F810" s="11"/>
      <c r="G810" s="11"/>
      <c r="H810" s="11"/>
      <c r="I810" s="24"/>
      <c r="J810" s="24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</row>
    <row r="811" spans="1:23" x14ac:dyDescent="0.2">
      <c r="A811" s="23"/>
      <c r="B811" s="8"/>
      <c r="C811" s="11"/>
      <c r="D811" s="11"/>
      <c r="E811" s="11"/>
      <c r="F811" s="11"/>
      <c r="G811" s="11"/>
      <c r="H811" s="11"/>
      <c r="I811" s="24"/>
      <c r="J811" s="24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</row>
    <row r="812" spans="1:23" x14ac:dyDescent="0.2">
      <c r="A812" s="23"/>
      <c r="B812" s="8"/>
      <c r="C812" s="11"/>
      <c r="D812" s="11"/>
      <c r="E812" s="11"/>
      <c r="F812" s="11"/>
      <c r="G812" s="11"/>
      <c r="H812" s="11"/>
      <c r="I812" s="24"/>
      <c r="J812" s="24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</row>
    <row r="813" spans="1:23" x14ac:dyDescent="0.2">
      <c r="A813" s="23"/>
      <c r="B813" s="8"/>
      <c r="C813" s="11"/>
      <c r="D813" s="11"/>
      <c r="E813" s="11"/>
      <c r="F813" s="11"/>
      <c r="G813" s="11"/>
      <c r="H813" s="11"/>
      <c r="I813" s="24"/>
      <c r="J813" s="24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</row>
    <row r="814" spans="1:23" x14ac:dyDescent="0.2">
      <c r="A814" s="23"/>
      <c r="B814" s="8"/>
      <c r="C814" s="11"/>
      <c r="D814" s="11"/>
      <c r="E814" s="11"/>
      <c r="F814" s="11"/>
      <c r="G814" s="11"/>
      <c r="H814" s="11"/>
      <c r="I814" s="24"/>
      <c r="J814" s="24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</row>
    <row r="815" spans="1:23" x14ac:dyDescent="0.2">
      <c r="A815" s="23"/>
      <c r="B815" s="8"/>
      <c r="C815" s="11"/>
      <c r="D815" s="11"/>
      <c r="E815" s="11"/>
      <c r="F815" s="11"/>
      <c r="G815" s="11"/>
      <c r="H815" s="11"/>
      <c r="I815" s="24"/>
      <c r="J815" s="24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</row>
    <row r="816" spans="1:23" x14ac:dyDescent="0.2">
      <c r="A816" s="23"/>
      <c r="B816" s="8"/>
      <c r="C816" s="11"/>
      <c r="D816" s="11"/>
      <c r="E816" s="11"/>
      <c r="F816" s="11"/>
      <c r="G816" s="11"/>
      <c r="H816" s="11"/>
      <c r="I816" s="24"/>
      <c r="J816" s="24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</row>
    <row r="817" spans="1:23" x14ac:dyDescent="0.2">
      <c r="A817" s="23"/>
      <c r="B817" s="8"/>
      <c r="C817" s="11"/>
      <c r="D817" s="11"/>
      <c r="E817" s="11"/>
      <c r="F817" s="11"/>
      <c r="G817" s="11"/>
      <c r="H817" s="11"/>
      <c r="I817" s="24"/>
      <c r="J817" s="24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</row>
    <row r="818" spans="1:23" x14ac:dyDescent="0.2">
      <c r="A818" s="23"/>
      <c r="B818" s="8"/>
      <c r="C818" s="11"/>
      <c r="D818" s="11"/>
      <c r="E818" s="11"/>
      <c r="F818" s="11"/>
      <c r="G818" s="11"/>
      <c r="H818" s="11"/>
      <c r="I818" s="24"/>
      <c r="J818" s="24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</row>
    <row r="819" spans="1:23" x14ac:dyDescent="0.2">
      <c r="A819" s="23"/>
      <c r="B819" s="8"/>
      <c r="C819" s="11"/>
      <c r="D819" s="11"/>
      <c r="E819" s="11"/>
      <c r="F819" s="11"/>
      <c r="G819" s="11"/>
      <c r="H819" s="11"/>
      <c r="I819" s="24"/>
      <c r="J819" s="24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</row>
    <row r="820" spans="1:23" x14ac:dyDescent="0.2">
      <c r="A820" s="23"/>
      <c r="B820" s="8"/>
      <c r="C820" s="11"/>
      <c r="D820" s="11"/>
      <c r="E820" s="11"/>
      <c r="F820" s="11"/>
      <c r="G820" s="11"/>
      <c r="H820" s="11"/>
      <c r="I820" s="24"/>
      <c r="J820" s="24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</row>
    <row r="821" spans="1:23" x14ac:dyDescent="0.2">
      <c r="A821" s="23"/>
      <c r="B821" s="8"/>
      <c r="C821" s="11"/>
      <c r="D821" s="11"/>
      <c r="E821" s="11"/>
      <c r="F821" s="11"/>
      <c r="G821" s="11"/>
      <c r="H821" s="11"/>
      <c r="I821" s="24"/>
      <c r="J821" s="24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</row>
    <row r="822" spans="1:23" x14ac:dyDescent="0.2">
      <c r="A822" s="23"/>
      <c r="B822" s="8"/>
      <c r="C822" s="11"/>
      <c r="D822" s="11"/>
      <c r="E822" s="11"/>
      <c r="F822" s="11"/>
      <c r="G822" s="11"/>
      <c r="H822" s="11"/>
      <c r="I822" s="24"/>
      <c r="J822" s="24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</row>
    <row r="823" spans="1:23" x14ac:dyDescent="0.2">
      <c r="A823" s="23"/>
      <c r="B823" s="8"/>
      <c r="C823" s="11"/>
      <c r="D823" s="11"/>
      <c r="E823" s="11"/>
      <c r="F823" s="11"/>
      <c r="G823" s="11"/>
      <c r="H823" s="11"/>
      <c r="I823" s="24"/>
      <c r="J823" s="24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</row>
    <row r="824" spans="1:23" x14ac:dyDescent="0.2">
      <c r="A824" s="23"/>
      <c r="B824" s="8"/>
      <c r="C824" s="11"/>
      <c r="D824" s="11"/>
      <c r="E824" s="11"/>
      <c r="F824" s="11"/>
      <c r="G824" s="11"/>
      <c r="H824" s="11"/>
      <c r="I824" s="24"/>
      <c r="J824" s="24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</row>
    <row r="825" spans="1:23" x14ac:dyDescent="0.2">
      <c r="A825" s="23"/>
      <c r="B825" s="8"/>
      <c r="C825" s="11"/>
      <c r="D825" s="11"/>
      <c r="E825" s="11"/>
      <c r="F825" s="11"/>
      <c r="G825" s="11"/>
      <c r="H825" s="11"/>
      <c r="I825" s="24"/>
      <c r="J825" s="24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</row>
    <row r="826" spans="1:23" x14ac:dyDescent="0.2">
      <c r="A826" s="23"/>
      <c r="B826" s="8"/>
      <c r="C826" s="11"/>
      <c r="D826" s="11"/>
      <c r="E826" s="11"/>
      <c r="F826" s="11"/>
      <c r="G826" s="11"/>
      <c r="H826" s="11"/>
      <c r="I826" s="24"/>
      <c r="J826" s="24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</row>
    <row r="827" spans="1:23" x14ac:dyDescent="0.2">
      <c r="A827" s="23"/>
      <c r="B827" s="8"/>
      <c r="C827" s="11"/>
      <c r="D827" s="11"/>
      <c r="E827" s="11"/>
      <c r="F827" s="11"/>
      <c r="G827" s="11"/>
      <c r="H827" s="11"/>
      <c r="I827" s="24"/>
      <c r="J827" s="24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</row>
    <row r="828" spans="1:23" x14ac:dyDescent="0.2">
      <c r="A828" s="23"/>
      <c r="B828" s="8"/>
      <c r="C828" s="11"/>
      <c r="D828" s="11"/>
      <c r="E828" s="11"/>
      <c r="F828" s="11"/>
      <c r="G828" s="11"/>
      <c r="H828" s="11"/>
      <c r="I828" s="24"/>
      <c r="J828" s="24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</row>
    <row r="829" spans="1:23" x14ac:dyDescent="0.2">
      <c r="A829" s="23"/>
      <c r="B829" s="8"/>
      <c r="C829" s="11"/>
      <c r="D829" s="11"/>
      <c r="E829" s="11"/>
      <c r="F829" s="11"/>
      <c r="G829" s="11"/>
      <c r="H829" s="11"/>
      <c r="I829" s="24"/>
      <c r="J829" s="24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</row>
    <row r="830" spans="1:23" x14ac:dyDescent="0.2">
      <c r="A830" s="23"/>
      <c r="B830" s="8"/>
      <c r="C830" s="11"/>
      <c r="D830" s="11"/>
      <c r="E830" s="11"/>
      <c r="F830" s="11"/>
      <c r="G830" s="11"/>
      <c r="H830" s="11"/>
      <c r="I830" s="24"/>
      <c r="J830" s="24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</row>
    <row r="831" spans="1:23" x14ac:dyDescent="0.2">
      <c r="A831" s="23"/>
      <c r="B831" s="8"/>
      <c r="C831" s="11"/>
      <c r="D831" s="11"/>
      <c r="E831" s="11"/>
      <c r="F831" s="11"/>
      <c r="G831" s="11"/>
      <c r="H831" s="11"/>
      <c r="I831" s="24"/>
      <c r="J831" s="24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</row>
    <row r="832" spans="1:23" x14ac:dyDescent="0.2">
      <c r="A832" s="23"/>
      <c r="B832" s="8"/>
      <c r="C832" s="11"/>
      <c r="D832" s="11"/>
      <c r="E832" s="11"/>
      <c r="F832" s="11"/>
      <c r="G832" s="11"/>
      <c r="H832" s="11"/>
      <c r="I832" s="24"/>
      <c r="J832" s="24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</row>
    <row r="833" spans="1:23" x14ac:dyDescent="0.2">
      <c r="A833" s="23"/>
      <c r="B833" s="8"/>
      <c r="C833" s="11"/>
      <c r="D833" s="11"/>
      <c r="E833" s="11"/>
      <c r="F833" s="11"/>
      <c r="G833" s="11"/>
      <c r="H833" s="11"/>
      <c r="I833" s="24"/>
      <c r="J833" s="24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</row>
    <row r="834" spans="1:23" x14ac:dyDescent="0.2">
      <c r="A834" s="23"/>
      <c r="B834" s="8"/>
      <c r="C834" s="11"/>
      <c r="D834" s="11"/>
      <c r="E834" s="11"/>
      <c r="F834" s="11"/>
      <c r="G834" s="11"/>
      <c r="H834" s="11"/>
      <c r="I834" s="24"/>
      <c r="J834" s="24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</row>
    <row r="835" spans="1:23" x14ac:dyDescent="0.2">
      <c r="A835" s="23"/>
      <c r="B835" s="8"/>
      <c r="C835" s="11"/>
      <c r="D835" s="11"/>
      <c r="E835" s="11"/>
      <c r="F835" s="11"/>
      <c r="G835" s="11"/>
      <c r="H835" s="11"/>
      <c r="I835" s="24"/>
      <c r="J835" s="24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</row>
    <row r="836" spans="1:23" x14ac:dyDescent="0.2">
      <c r="A836" s="23"/>
      <c r="B836" s="8"/>
      <c r="C836" s="11"/>
      <c r="D836" s="11"/>
      <c r="E836" s="11"/>
      <c r="F836" s="11"/>
      <c r="G836" s="11"/>
      <c r="H836" s="11"/>
      <c r="I836" s="24"/>
      <c r="J836" s="24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</row>
    <row r="837" spans="1:23" x14ac:dyDescent="0.2">
      <c r="A837" s="23"/>
      <c r="B837" s="8"/>
      <c r="C837" s="11"/>
      <c r="D837" s="11"/>
      <c r="E837" s="11"/>
      <c r="F837" s="11"/>
      <c r="G837" s="11"/>
      <c r="H837" s="11"/>
      <c r="I837" s="24"/>
      <c r="J837" s="24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</row>
    <row r="838" spans="1:23" x14ac:dyDescent="0.2">
      <c r="A838" s="23"/>
      <c r="B838" s="8"/>
      <c r="C838" s="11"/>
      <c r="D838" s="11"/>
      <c r="E838" s="11"/>
      <c r="F838" s="11"/>
      <c r="G838" s="11"/>
      <c r="H838" s="11"/>
      <c r="I838" s="24"/>
      <c r="J838" s="24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</row>
    <row r="839" spans="1:23" x14ac:dyDescent="0.2">
      <c r="A839" s="23"/>
      <c r="B839" s="8"/>
      <c r="C839" s="11"/>
      <c r="D839" s="11"/>
      <c r="E839" s="11"/>
      <c r="F839" s="11"/>
      <c r="G839" s="11"/>
      <c r="H839" s="11"/>
      <c r="I839" s="24"/>
      <c r="J839" s="24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</row>
    <row r="840" spans="1:23" x14ac:dyDescent="0.2">
      <c r="A840" s="23"/>
      <c r="B840" s="8"/>
      <c r="C840" s="11"/>
      <c r="D840" s="11"/>
      <c r="E840" s="11"/>
      <c r="F840" s="11"/>
      <c r="G840" s="11"/>
      <c r="H840" s="11"/>
      <c r="I840" s="24"/>
      <c r="J840" s="24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</row>
    <row r="841" spans="1:23" x14ac:dyDescent="0.2">
      <c r="A841" s="23"/>
      <c r="B841" s="8"/>
      <c r="C841" s="11"/>
      <c r="D841" s="11"/>
      <c r="E841" s="11"/>
      <c r="F841" s="11"/>
      <c r="G841" s="11"/>
      <c r="H841" s="11"/>
      <c r="I841" s="24"/>
      <c r="J841" s="24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</row>
    <row r="842" spans="1:23" x14ac:dyDescent="0.2">
      <c r="A842" s="23"/>
      <c r="B842" s="8"/>
      <c r="C842" s="11"/>
      <c r="D842" s="11"/>
      <c r="E842" s="11"/>
      <c r="F842" s="11"/>
      <c r="G842" s="11"/>
      <c r="H842" s="11"/>
      <c r="I842" s="24"/>
      <c r="J842" s="24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</row>
    <row r="843" spans="1:23" x14ac:dyDescent="0.2">
      <c r="A843" s="23"/>
      <c r="B843" s="8"/>
      <c r="C843" s="11"/>
      <c r="D843" s="11"/>
      <c r="E843" s="11"/>
      <c r="F843" s="11"/>
      <c r="G843" s="11"/>
      <c r="H843" s="11"/>
      <c r="I843" s="24"/>
      <c r="J843" s="24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</row>
    <row r="844" spans="1:23" x14ac:dyDescent="0.2">
      <c r="A844" s="23"/>
      <c r="B844" s="8"/>
      <c r="C844" s="11"/>
      <c r="D844" s="11"/>
      <c r="E844" s="11"/>
      <c r="F844" s="11"/>
      <c r="G844" s="11"/>
      <c r="H844" s="11"/>
      <c r="I844" s="24"/>
      <c r="J844" s="24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</row>
    <row r="845" spans="1:23" x14ac:dyDescent="0.2">
      <c r="A845" s="23"/>
      <c r="B845" s="8"/>
      <c r="C845" s="11"/>
      <c r="D845" s="11"/>
      <c r="E845" s="11"/>
      <c r="F845" s="11"/>
      <c r="G845" s="11"/>
      <c r="H845" s="11"/>
      <c r="I845" s="24"/>
      <c r="J845" s="24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</row>
    <row r="846" spans="1:23" x14ac:dyDescent="0.2">
      <c r="A846" s="23"/>
      <c r="B846" s="8"/>
      <c r="C846" s="11"/>
      <c r="D846" s="11"/>
      <c r="E846" s="11"/>
      <c r="F846" s="11"/>
      <c r="G846" s="11"/>
      <c r="H846" s="11"/>
      <c r="I846" s="24"/>
      <c r="J846" s="24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</row>
    <row r="847" spans="1:23" x14ac:dyDescent="0.2">
      <c r="A847" s="23"/>
      <c r="B847" s="8"/>
      <c r="C847" s="11"/>
      <c r="D847" s="11"/>
      <c r="E847" s="11"/>
      <c r="F847" s="11"/>
      <c r="G847" s="11"/>
      <c r="H847" s="11"/>
      <c r="I847" s="24"/>
      <c r="J847" s="24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</row>
    <row r="848" spans="1:23" x14ac:dyDescent="0.2">
      <c r="A848" s="23"/>
      <c r="B848" s="8"/>
      <c r="C848" s="11"/>
      <c r="D848" s="11"/>
      <c r="E848" s="11"/>
      <c r="F848" s="11"/>
      <c r="G848" s="11"/>
      <c r="H848" s="11"/>
      <c r="I848" s="24"/>
      <c r="J848" s="24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</row>
    <row r="849" spans="1:23" x14ac:dyDescent="0.2">
      <c r="A849" s="23"/>
      <c r="B849" s="8"/>
      <c r="C849" s="11"/>
      <c r="D849" s="11"/>
      <c r="E849" s="11"/>
      <c r="F849" s="11"/>
      <c r="G849" s="11"/>
      <c r="H849" s="11"/>
      <c r="I849" s="24"/>
      <c r="J849" s="24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</row>
    <row r="850" spans="1:23" x14ac:dyDescent="0.2">
      <c r="A850" s="23"/>
      <c r="B850" s="8"/>
      <c r="C850" s="11"/>
      <c r="D850" s="11"/>
      <c r="E850" s="11"/>
      <c r="F850" s="11"/>
      <c r="G850" s="11"/>
      <c r="H850" s="11"/>
      <c r="I850" s="24"/>
      <c r="J850" s="24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</row>
    <row r="851" spans="1:23" x14ac:dyDescent="0.2">
      <c r="A851" s="23"/>
      <c r="B851" s="8"/>
      <c r="C851" s="11"/>
      <c r="D851" s="11"/>
      <c r="E851" s="11"/>
      <c r="F851" s="11"/>
      <c r="G851" s="11"/>
      <c r="H851" s="11"/>
      <c r="I851" s="24"/>
      <c r="J851" s="24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</row>
    <row r="852" spans="1:23" x14ac:dyDescent="0.2">
      <c r="A852" s="23"/>
      <c r="B852" s="8"/>
      <c r="C852" s="11"/>
      <c r="D852" s="11"/>
      <c r="E852" s="11"/>
      <c r="F852" s="11"/>
      <c r="G852" s="11"/>
      <c r="H852" s="11"/>
      <c r="I852" s="24"/>
      <c r="J852" s="24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</row>
    <row r="853" spans="1:23" x14ac:dyDescent="0.2">
      <c r="A853" s="23"/>
      <c r="B853" s="8"/>
      <c r="C853" s="11"/>
      <c r="D853" s="11"/>
      <c r="E853" s="11"/>
      <c r="F853" s="11"/>
      <c r="G853" s="11"/>
      <c r="H853" s="11"/>
      <c r="I853" s="24"/>
      <c r="J853" s="24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</row>
    <row r="854" spans="1:23" x14ac:dyDescent="0.2">
      <c r="A854" s="23"/>
      <c r="B854" s="8"/>
      <c r="C854" s="11"/>
      <c r="D854" s="11"/>
      <c r="E854" s="11"/>
      <c r="F854" s="11"/>
      <c r="G854" s="11"/>
      <c r="H854" s="11"/>
      <c r="I854" s="24"/>
      <c r="J854" s="24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</row>
    <row r="855" spans="1:23" x14ac:dyDescent="0.2">
      <c r="A855" s="23"/>
      <c r="B855" s="8"/>
      <c r="C855" s="11"/>
      <c r="D855" s="11"/>
      <c r="E855" s="11"/>
      <c r="F855" s="11"/>
      <c r="G855" s="11"/>
      <c r="H855" s="11"/>
      <c r="I855" s="24"/>
      <c r="J855" s="24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</row>
    <row r="856" spans="1:23" x14ac:dyDescent="0.2">
      <c r="A856" s="23"/>
      <c r="B856" s="8"/>
      <c r="C856" s="11"/>
      <c r="D856" s="11"/>
      <c r="E856" s="11"/>
      <c r="F856" s="11"/>
      <c r="G856" s="11"/>
      <c r="H856" s="11"/>
      <c r="I856" s="24"/>
      <c r="J856" s="24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</row>
    <row r="857" spans="1:23" x14ac:dyDescent="0.2">
      <c r="A857" s="23"/>
      <c r="B857" s="8"/>
      <c r="C857" s="11"/>
      <c r="D857" s="11"/>
      <c r="E857" s="11"/>
      <c r="F857" s="11"/>
      <c r="G857" s="11"/>
      <c r="H857" s="11"/>
      <c r="I857" s="24"/>
      <c r="J857" s="24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</row>
    <row r="858" spans="1:23" x14ac:dyDescent="0.2">
      <c r="A858" s="23"/>
      <c r="B858" s="8"/>
      <c r="C858" s="11"/>
      <c r="D858" s="11"/>
      <c r="E858" s="11"/>
      <c r="F858" s="11"/>
      <c r="G858" s="11"/>
      <c r="H858" s="11"/>
      <c r="I858" s="24"/>
      <c r="J858" s="24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</row>
    <row r="859" spans="1:23" x14ac:dyDescent="0.2">
      <c r="A859" s="23"/>
      <c r="B859" s="8"/>
      <c r="C859" s="11"/>
      <c r="D859" s="11"/>
      <c r="E859" s="11"/>
      <c r="F859" s="11"/>
      <c r="G859" s="11"/>
      <c r="H859" s="11"/>
      <c r="I859" s="24"/>
      <c r="J859" s="24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</row>
    <row r="860" spans="1:23" x14ac:dyDescent="0.2">
      <c r="A860" s="23"/>
      <c r="B860" s="8"/>
      <c r="C860" s="11"/>
      <c r="D860" s="11"/>
      <c r="E860" s="11"/>
      <c r="F860" s="11"/>
      <c r="G860" s="11"/>
      <c r="H860" s="11"/>
      <c r="I860" s="24"/>
      <c r="J860" s="24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</row>
    <row r="861" spans="1:23" x14ac:dyDescent="0.2">
      <c r="A861" s="23"/>
      <c r="B861" s="8"/>
      <c r="C861" s="11"/>
      <c r="D861" s="11"/>
      <c r="E861" s="11"/>
      <c r="F861" s="11"/>
      <c r="G861" s="11"/>
      <c r="H861" s="11"/>
      <c r="I861" s="24"/>
      <c r="J861" s="24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</row>
    <row r="862" spans="1:23" x14ac:dyDescent="0.2">
      <c r="A862" s="23"/>
      <c r="B862" s="8"/>
      <c r="C862" s="11"/>
      <c r="D862" s="11"/>
      <c r="E862" s="11"/>
      <c r="F862" s="11"/>
      <c r="G862" s="11"/>
      <c r="H862" s="11"/>
      <c r="I862" s="24"/>
      <c r="J862" s="24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</row>
    <row r="863" spans="1:23" x14ac:dyDescent="0.2">
      <c r="A863" s="23"/>
      <c r="B863" s="8"/>
      <c r="C863" s="11"/>
      <c r="D863" s="11"/>
      <c r="E863" s="11"/>
      <c r="F863" s="11"/>
      <c r="G863" s="11"/>
      <c r="H863" s="11"/>
      <c r="I863" s="24"/>
      <c r="J863" s="24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</row>
    <row r="864" spans="1:23" x14ac:dyDescent="0.2">
      <c r="A864" s="23"/>
      <c r="B864" s="8"/>
      <c r="C864" s="11"/>
      <c r="D864" s="11"/>
      <c r="E864" s="11"/>
      <c r="F864" s="11"/>
      <c r="G864" s="11"/>
      <c r="H864" s="11"/>
      <c r="I864" s="24"/>
      <c r="J864" s="24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</row>
    <row r="865" spans="1:23" x14ac:dyDescent="0.2">
      <c r="A865" s="23"/>
      <c r="B865" s="8"/>
      <c r="C865" s="11"/>
      <c r="D865" s="11"/>
      <c r="E865" s="11"/>
      <c r="F865" s="11"/>
      <c r="G865" s="11"/>
      <c r="H865" s="11"/>
      <c r="I865" s="24"/>
      <c r="J865" s="24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</row>
    <row r="866" spans="1:23" x14ac:dyDescent="0.2">
      <c r="A866" s="23"/>
      <c r="B866" s="8"/>
      <c r="C866" s="11"/>
      <c r="D866" s="11"/>
      <c r="E866" s="11"/>
      <c r="F866" s="11"/>
      <c r="G866" s="11"/>
      <c r="H866" s="11"/>
      <c r="I866" s="24"/>
      <c r="J866" s="24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</row>
    <row r="867" spans="1:23" x14ac:dyDescent="0.2">
      <c r="A867" s="23"/>
      <c r="B867" s="8"/>
      <c r="C867" s="11"/>
      <c r="D867" s="11"/>
      <c r="E867" s="11"/>
      <c r="F867" s="11"/>
      <c r="G867" s="11"/>
      <c r="H867" s="11"/>
      <c r="I867" s="24"/>
      <c r="J867" s="24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</row>
    <row r="868" spans="1:23" x14ac:dyDescent="0.2">
      <c r="A868" s="23"/>
      <c r="B868" s="8"/>
      <c r="C868" s="11"/>
      <c r="D868" s="11"/>
      <c r="E868" s="11"/>
      <c r="F868" s="11"/>
      <c r="G868" s="11"/>
      <c r="H868" s="11"/>
      <c r="I868" s="24"/>
      <c r="J868" s="24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</row>
    <row r="869" spans="1:23" x14ac:dyDescent="0.2">
      <c r="A869" s="23"/>
      <c r="B869" s="8"/>
      <c r="C869" s="11"/>
      <c r="D869" s="11"/>
      <c r="E869" s="11"/>
      <c r="F869" s="11"/>
      <c r="G869" s="11"/>
      <c r="H869" s="11"/>
      <c r="I869" s="24"/>
      <c r="J869" s="24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</row>
    <row r="870" spans="1:23" x14ac:dyDescent="0.2">
      <c r="A870" s="23"/>
      <c r="B870" s="8"/>
      <c r="C870" s="11"/>
      <c r="D870" s="11"/>
      <c r="E870" s="11"/>
      <c r="F870" s="11"/>
      <c r="G870" s="11"/>
      <c r="H870" s="11"/>
      <c r="I870" s="24"/>
      <c r="J870" s="24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</row>
    <row r="871" spans="1:23" x14ac:dyDescent="0.2">
      <c r="A871" s="23"/>
      <c r="B871" s="8"/>
      <c r="C871" s="11"/>
      <c r="D871" s="11"/>
      <c r="E871" s="11"/>
      <c r="F871" s="11"/>
      <c r="G871" s="11"/>
      <c r="H871" s="11"/>
      <c r="I871" s="24"/>
      <c r="J871" s="24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</row>
    <row r="872" spans="1:23" x14ac:dyDescent="0.2">
      <c r="A872" s="23"/>
      <c r="B872" s="8"/>
      <c r="C872" s="11"/>
      <c r="D872" s="11"/>
      <c r="E872" s="11"/>
      <c r="F872" s="11"/>
      <c r="G872" s="11"/>
      <c r="H872" s="11"/>
      <c r="I872" s="24"/>
      <c r="J872" s="24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</row>
    <row r="873" spans="1:23" x14ac:dyDescent="0.2">
      <c r="A873" s="23"/>
      <c r="B873" s="8"/>
      <c r="C873" s="11"/>
      <c r="D873" s="11"/>
      <c r="E873" s="11"/>
      <c r="F873" s="11"/>
      <c r="G873" s="11"/>
      <c r="H873" s="11"/>
      <c r="I873" s="24"/>
      <c r="J873" s="24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</row>
    <row r="874" spans="1:23" x14ac:dyDescent="0.2">
      <c r="A874" s="23"/>
      <c r="B874" s="8"/>
      <c r="C874" s="11"/>
      <c r="D874" s="11"/>
      <c r="E874" s="11"/>
      <c r="F874" s="11"/>
      <c r="G874" s="11"/>
      <c r="H874" s="11"/>
      <c r="I874" s="24"/>
      <c r="J874" s="24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</row>
    <row r="875" spans="1:23" x14ac:dyDescent="0.2">
      <c r="A875" s="23"/>
      <c r="B875" s="8"/>
      <c r="C875" s="11"/>
      <c r="D875" s="11"/>
      <c r="E875" s="11"/>
      <c r="F875" s="11"/>
      <c r="G875" s="11"/>
      <c r="H875" s="11"/>
      <c r="I875" s="24"/>
      <c r="J875" s="24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</row>
    <row r="876" spans="1:23" x14ac:dyDescent="0.2">
      <c r="A876" s="23"/>
      <c r="B876" s="8"/>
      <c r="C876" s="11"/>
      <c r="D876" s="11"/>
      <c r="E876" s="11"/>
      <c r="F876" s="11"/>
      <c r="G876" s="11"/>
      <c r="H876" s="11"/>
      <c r="I876" s="24"/>
      <c r="J876" s="24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</row>
    <row r="877" spans="1:23" x14ac:dyDescent="0.2">
      <c r="A877" s="23"/>
      <c r="B877" s="8"/>
      <c r="C877" s="11"/>
      <c r="D877" s="11"/>
      <c r="E877" s="11"/>
      <c r="F877" s="11"/>
      <c r="G877" s="11"/>
      <c r="H877" s="11"/>
      <c r="I877" s="24"/>
      <c r="J877" s="24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</row>
    <row r="878" spans="1:23" x14ac:dyDescent="0.2">
      <c r="A878" s="23"/>
      <c r="B878" s="8"/>
      <c r="C878" s="11"/>
      <c r="D878" s="11"/>
      <c r="E878" s="11"/>
      <c r="F878" s="11"/>
      <c r="G878" s="11"/>
      <c r="H878" s="11"/>
      <c r="I878" s="24"/>
      <c r="J878" s="24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</row>
    <row r="879" spans="1:23" x14ac:dyDescent="0.2">
      <c r="A879" s="23"/>
      <c r="B879" s="8"/>
      <c r="C879" s="11"/>
      <c r="D879" s="11"/>
      <c r="E879" s="11"/>
      <c r="F879" s="11"/>
      <c r="G879" s="11"/>
      <c r="H879" s="11"/>
      <c r="I879" s="24"/>
      <c r="J879" s="24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</row>
    <row r="880" spans="1:23" x14ac:dyDescent="0.2">
      <c r="A880" s="23"/>
      <c r="B880" s="8"/>
      <c r="C880" s="11"/>
      <c r="D880" s="11"/>
      <c r="E880" s="11"/>
      <c r="F880" s="11"/>
      <c r="G880" s="11"/>
      <c r="H880" s="11"/>
      <c r="I880" s="24"/>
      <c r="J880" s="24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</row>
    <row r="881" spans="1:23" x14ac:dyDescent="0.2">
      <c r="A881" s="23"/>
      <c r="B881" s="8"/>
      <c r="C881" s="11"/>
      <c r="D881" s="11"/>
      <c r="E881" s="11"/>
      <c r="F881" s="11"/>
      <c r="G881" s="11"/>
      <c r="H881" s="11"/>
      <c r="I881" s="24"/>
      <c r="J881" s="24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</row>
    <row r="882" spans="1:23" x14ac:dyDescent="0.2">
      <c r="A882" s="23"/>
      <c r="B882" s="8"/>
      <c r="C882" s="11"/>
      <c r="D882" s="11"/>
      <c r="E882" s="11"/>
      <c r="F882" s="11"/>
      <c r="G882" s="11"/>
      <c r="H882" s="11"/>
      <c r="I882" s="24"/>
      <c r="J882" s="24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</row>
    <row r="883" spans="1:23" x14ac:dyDescent="0.2">
      <c r="A883" s="23"/>
      <c r="B883" s="8"/>
      <c r="C883" s="11"/>
      <c r="D883" s="11"/>
      <c r="E883" s="11"/>
      <c r="F883" s="11"/>
      <c r="G883" s="11"/>
      <c r="H883" s="11"/>
      <c r="I883" s="24"/>
      <c r="J883" s="24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</row>
    <row r="884" spans="1:23" x14ac:dyDescent="0.2">
      <c r="A884" s="23"/>
      <c r="B884" s="8"/>
      <c r="C884" s="11"/>
      <c r="D884" s="11"/>
      <c r="E884" s="11"/>
      <c r="F884" s="11"/>
      <c r="G884" s="11"/>
      <c r="H884" s="11"/>
      <c r="I884" s="24"/>
      <c r="J884" s="24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</row>
    <row r="885" spans="1:23" x14ac:dyDescent="0.2">
      <c r="A885" s="23"/>
      <c r="B885" s="8"/>
      <c r="C885" s="11"/>
      <c r="D885" s="11"/>
      <c r="E885" s="11"/>
      <c r="F885" s="11"/>
      <c r="G885" s="11"/>
      <c r="H885" s="11"/>
      <c r="I885" s="24"/>
      <c r="J885" s="24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</row>
    <row r="886" spans="1:23" x14ac:dyDescent="0.2">
      <c r="A886" s="23"/>
      <c r="B886" s="8"/>
      <c r="C886" s="11"/>
      <c r="D886" s="11"/>
      <c r="E886" s="11"/>
      <c r="F886" s="11"/>
      <c r="G886" s="11"/>
      <c r="H886" s="11"/>
      <c r="I886" s="24"/>
      <c r="J886" s="24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</row>
    <row r="887" spans="1:23" x14ac:dyDescent="0.2">
      <c r="A887" s="23"/>
      <c r="B887" s="8"/>
      <c r="C887" s="11"/>
      <c r="D887" s="11"/>
      <c r="E887" s="11"/>
      <c r="F887" s="11"/>
      <c r="G887" s="11"/>
      <c r="H887" s="11"/>
      <c r="I887" s="24"/>
      <c r="J887" s="24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</row>
    <row r="888" spans="1:23" x14ac:dyDescent="0.2">
      <c r="A888" s="23"/>
      <c r="B888" s="8"/>
      <c r="C888" s="11"/>
      <c r="D888" s="11"/>
      <c r="E888" s="11"/>
      <c r="F888" s="11"/>
      <c r="G888" s="11"/>
      <c r="H888" s="11"/>
      <c r="I888" s="24"/>
      <c r="J888" s="24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</row>
    <row r="889" spans="1:23" x14ac:dyDescent="0.2">
      <c r="A889" s="23"/>
      <c r="B889" s="8"/>
      <c r="C889" s="11"/>
      <c r="D889" s="11"/>
      <c r="E889" s="11"/>
      <c r="F889" s="11"/>
      <c r="G889" s="11"/>
      <c r="H889" s="11"/>
      <c r="I889" s="24"/>
      <c r="J889" s="24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</row>
    <row r="890" spans="1:23" x14ac:dyDescent="0.2">
      <c r="A890" s="23"/>
      <c r="B890" s="8"/>
      <c r="C890" s="11"/>
      <c r="D890" s="11"/>
      <c r="E890" s="11"/>
      <c r="F890" s="11"/>
      <c r="G890" s="11"/>
      <c r="H890" s="11"/>
      <c r="I890" s="24"/>
      <c r="J890" s="24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</row>
    <row r="891" spans="1:23" x14ac:dyDescent="0.2">
      <c r="A891" s="23"/>
      <c r="B891" s="8"/>
      <c r="C891" s="11"/>
      <c r="D891" s="11"/>
      <c r="E891" s="11"/>
      <c r="F891" s="11"/>
      <c r="G891" s="11"/>
      <c r="H891" s="11"/>
      <c r="I891" s="24"/>
      <c r="J891" s="24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</row>
    <row r="892" spans="1:23" x14ac:dyDescent="0.2">
      <c r="A892" s="23"/>
      <c r="B892" s="8"/>
      <c r="C892" s="11"/>
      <c r="D892" s="11"/>
      <c r="E892" s="11"/>
      <c r="F892" s="11"/>
      <c r="G892" s="11"/>
      <c r="H892" s="11"/>
      <c r="I892" s="24"/>
      <c r="J892" s="24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</row>
    <row r="893" spans="1:23" x14ac:dyDescent="0.2">
      <c r="A893" s="23"/>
      <c r="B893" s="8"/>
      <c r="C893" s="11"/>
      <c r="D893" s="11"/>
      <c r="E893" s="11"/>
      <c r="F893" s="11"/>
      <c r="G893" s="11"/>
      <c r="H893" s="11"/>
      <c r="I893" s="24"/>
      <c r="J893" s="24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</row>
    <row r="894" spans="1:23" x14ac:dyDescent="0.2">
      <c r="A894" s="23"/>
      <c r="B894" s="8"/>
      <c r="C894" s="11"/>
      <c r="D894" s="11"/>
      <c r="E894" s="11"/>
      <c r="F894" s="11"/>
      <c r="G894" s="11"/>
      <c r="H894" s="11"/>
      <c r="I894" s="24"/>
      <c r="J894" s="24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</row>
    <row r="895" spans="1:23" x14ac:dyDescent="0.2">
      <c r="A895" s="23"/>
      <c r="B895" s="8"/>
      <c r="C895" s="11"/>
      <c r="D895" s="11"/>
      <c r="E895" s="11"/>
      <c r="F895" s="11"/>
      <c r="G895" s="11"/>
      <c r="H895" s="11"/>
      <c r="I895" s="24"/>
      <c r="J895" s="24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</row>
    <row r="896" spans="1:23" x14ac:dyDescent="0.2">
      <c r="A896" s="23"/>
      <c r="B896" s="8"/>
      <c r="C896" s="11"/>
      <c r="D896" s="11"/>
      <c r="E896" s="11"/>
      <c r="F896" s="11"/>
      <c r="G896" s="11"/>
      <c r="H896" s="11"/>
      <c r="I896" s="24"/>
      <c r="J896" s="24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</row>
    <row r="897" spans="1:23" x14ac:dyDescent="0.2">
      <c r="A897" s="23"/>
      <c r="B897" s="8"/>
      <c r="C897" s="11"/>
      <c r="D897" s="11"/>
      <c r="E897" s="11"/>
      <c r="F897" s="11"/>
      <c r="G897" s="11"/>
      <c r="H897" s="11"/>
      <c r="I897" s="24"/>
      <c r="J897" s="24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</row>
    <row r="898" spans="1:23" x14ac:dyDescent="0.2">
      <c r="A898" s="23"/>
      <c r="B898" s="8"/>
      <c r="C898" s="11"/>
      <c r="D898" s="11"/>
      <c r="E898" s="11"/>
      <c r="F898" s="11"/>
      <c r="G898" s="11"/>
      <c r="H898" s="11"/>
      <c r="I898" s="24"/>
      <c r="J898" s="24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</row>
    <row r="899" spans="1:23" x14ac:dyDescent="0.2">
      <c r="A899" s="23"/>
      <c r="B899" s="8"/>
      <c r="C899" s="11"/>
      <c r="D899" s="11"/>
      <c r="E899" s="11"/>
      <c r="F899" s="11"/>
      <c r="G899" s="11"/>
      <c r="H899" s="11"/>
      <c r="I899" s="24"/>
      <c r="J899" s="24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</row>
    <row r="900" spans="1:23" x14ac:dyDescent="0.2">
      <c r="A900" s="23"/>
      <c r="B900" s="8"/>
      <c r="C900" s="11"/>
      <c r="D900" s="11"/>
      <c r="E900" s="11"/>
      <c r="F900" s="11"/>
      <c r="G900" s="11"/>
      <c r="H900" s="11"/>
      <c r="I900" s="24"/>
      <c r="J900" s="24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</row>
    <row r="901" spans="1:23" x14ac:dyDescent="0.2">
      <c r="A901" s="23"/>
      <c r="B901" s="8"/>
      <c r="C901" s="11"/>
      <c r="D901" s="11"/>
      <c r="E901" s="11"/>
      <c r="F901" s="11"/>
      <c r="G901" s="11"/>
      <c r="H901" s="11"/>
      <c r="I901" s="24"/>
      <c r="J901" s="24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</row>
    <row r="902" spans="1:23" x14ac:dyDescent="0.2">
      <c r="A902" s="23"/>
      <c r="B902" s="8"/>
      <c r="C902" s="11"/>
      <c r="D902" s="11"/>
      <c r="E902" s="11"/>
      <c r="F902" s="11"/>
      <c r="G902" s="11"/>
      <c r="H902" s="11"/>
      <c r="I902" s="24"/>
      <c r="J902" s="24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</row>
    <row r="903" spans="1:23" x14ac:dyDescent="0.2">
      <c r="A903" s="23"/>
      <c r="B903" s="8"/>
      <c r="C903" s="11"/>
      <c r="D903" s="11"/>
      <c r="E903" s="11"/>
      <c r="F903" s="11"/>
      <c r="G903" s="11"/>
      <c r="H903" s="11"/>
      <c r="I903" s="24"/>
      <c r="J903" s="24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</row>
    <row r="904" spans="1:23" x14ac:dyDescent="0.2">
      <c r="A904" s="23"/>
      <c r="B904" s="8"/>
      <c r="C904" s="11"/>
      <c r="D904" s="11"/>
      <c r="E904" s="11"/>
      <c r="F904" s="11"/>
      <c r="G904" s="11"/>
      <c r="H904" s="11"/>
      <c r="I904" s="24"/>
      <c r="J904" s="24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</row>
    <row r="905" spans="1:23" x14ac:dyDescent="0.2">
      <c r="A905" s="23"/>
      <c r="B905" s="8"/>
      <c r="C905" s="11"/>
      <c r="D905" s="11"/>
      <c r="E905" s="11"/>
      <c r="F905" s="11"/>
      <c r="G905" s="11"/>
      <c r="H905" s="11"/>
      <c r="I905" s="24"/>
      <c r="J905" s="24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</row>
    <row r="906" spans="1:23" x14ac:dyDescent="0.2">
      <c r="A906" s="23"/>
      <c r="B906" s="8"/>
      <c r="C906" s="11"/>
      <c r="D906" s="11"/>
      <c r="E906" s="11"/>
      <c r="F906" s="11"/>
      <c r="G906" s="11"/>
      <c r="H906" s="11"/>
      <c r="I906" s="24"/>
      <c r="J906" s="24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</row>
    <row r="907" spans="1:23" x14ac:dyDescent="0.2">
      <c r="A907" s="23"/>
      <c r="B907" s="8"/>
      <c r="C907" s="11"/>
      <c r="D907" s="11"/>
      <c r="E907" s="11"/>
      <c r="F907" s="11"/>
      <c r="G907" s="11"/>
      <c r="H907" s="11"/>
      <c r="I907" s="24"/>
      <c r="J907" s="24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</row>
    <row r="908" spans="1:23" x14ac:dyDescent="0.2">
      <c r="A908" s="23"/>
      <c r="B908" s="8"/>
      <c r="C908" s="11"/>
      <c r="D908" s="11"/>
      <c r="E908" s="11"/>
      <c r="F908" s="11"/>
      <c r="G908" s="11"/>
      <c r="H908" s="11"/>
      <c r="I908" s="24"/>
      <c r="J908" s="24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</row>
    <row r="909" spans="1:23" x14ac:dyDescent="0.2">
      <c r="A909" s="23"/>
      <c r="B909" s="8"/>
      <c r="C909" s="11"/>
      <c r="D909" s="11"/>
      <c r="E909" s="11"/>
      <c r="F909" s="11"/>
      <c r="G909" s="11"/>
      <c r="H909" s="11"/>
      <c r="I909" s="24"/>
      <c r="J909" s="24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</row>
    <row r="910" spans="1:23" x14ac:dyDescent="0.2">
      <c r="A910" s="23"/>
      <c r="B910" s="8"/>
      <c r="C910" s="11"/>
      <c r="D910" s="11"/>
      <c r="E910" s="11"/>
      <c r="F910" s="11"/>
      <c r="G910" s="11"/>
      <c r="H910" s="11"/>
      <c r="I910" s="24"/>
      <c r="J910" s="24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</row>
    <row r="911" spans="1:23" x14ac:dyDescent="0.2">
      <c r="A911" s="23"/>
      <c r="B911" s="8"/>
      <c r="C911" s="11"/>
      <c r="D911" s="11"/>
      <c r="E911" s="11"/>
      <c r="F911" s="11"/>
      <c r="G911" s="11"/>
      <c r="H911" s="11"/>
      <c r="I911" s="24"/>
      <c r="J911" s="24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</row>
    <row r="912" spans="1:23" x14ac:dyDescent="0.2">
      <c r="A912" s="23"/>
      <c r="B912" s="8"/>
      <c r="C912" s="11"/>
      <c r="D912" s="11"/>
      <c r="E912" s="11"/>
      <c r="F912" s="11"/>
      <c r="G912" s="11"/>
      <c r="H912" s="11"/>
      <c r="I912" s="24"/>
      <c r="J912" s="24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</row>
    <row r="913" spans="1:23" x14ac:dyDescent="0.2">
      <c r="A913" s="23"/>
      <c r="B913" s="8"/>
      <c r="C913" s="11"/>
      <c r="D913" s="11"/>
      <c r="E913" s="11"/>
      <c r="F913" s="11"/>
      <c r="G913" s="11"/>
      <c r="H913" s="11"/>
      <c r="I913" s="24"/>
      <c r="J913" s="24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</row>
    <row r="914" spans="1:23" x14ac:dyDescent="0.2">
      <c r="A914" s="23"/>
      <c r="B914" s="8"/>
      <c r="C914" s="11"/>
      <c r="D914" s="11"/>
      <c r="E914" s="11"/>
      <c r="F914" s="11"/>
      <c r="G914" s="11"/>
      <c r="H914" s="11"/>
      <c r="I914" s="24"/>
      <c r="J914" s="24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</row>
    <row r="915" spans="1:23" x14ac:dyDescent="0.2">
      <c r="A915" s="23"/>
      <c r="B915" s="8"/>
      <c r="C915" s="11"/>
      <c r="D915" s="11"/>
      <c r="E915" s="11"/>
      <c r="F915" s="11"/>
      <c r="G915" s="11"/>
      <c r="H915" s="11"/>
      <c r="I915" s="24"/>
      <c r="J915" s="24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</row>
    <row r="916" spans="1:23" x14ac:dyDescent="0.2">
      <c r="A916" s="23"/>
      <c r="B916" s="8"/>
      <c r="C916" s="11"/>
      <c r="D916" s="11"/>
      <c r="E916" s="11"/>
      <c r="F916" s="11"/>
      <c r="G916" s="11"/>
      <c r="H916" s="11"/>
      <c r="I916" s="24"/>
      <c r="J916" s="24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</row>
    <row r="917" spans="1:23" x14ac:dyDescent="0.2">
      <c r="A917" s="23"/>
      <c r="B917" s="8"/>
      <c r="C917" s="11"/>
      <c r="D917" s="11"/>
      <c r="E917" s="11"/>
      <c r="F917" s="11"/>
      <c r="G917" s="11"/>
      <c r="H917" s="11"/>
      <c r="I917" s="24"/>
      <c r="J917" s="24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</row>
    <row r="918" spans="1:23" x14ac:dyDescent="0.2">
      <c r="A918" s="23"/>
      <c r="B918" s="8"/>
      <c r="C918" s="11"/>
      <c r="D918" s="11"/>
      <c r="E918" s="11"/>
      <c r="F918" s="11"/>
      <c r="G918" s="11"/>
      <c r="H918" s="11"/>
      <c r="I918" s="24"/>
      <c r="J918" s="24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</row>
    <row r="919" spans="1:23" x14ac:dyDescent="0.2">
      <c r="A919" s="23"/>
      <c r="B919" s="8"/>
      <c r="C919" s="11"/>
      <c r="D919" s="11"/>
      <c r="E919" s="11"/>
      <c r="F919" s="11"/>
      <c r="G919" s="11"/>
      <c r="H919" s="11"/>
      <c r="I919" s="24"/>
      <c r="J919" s="24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</row>
    <row r="920" spans="1:23" x14ac:dyDescent="0.2">
      <c r="A920" s="23"/>
      <c r="B920" s="8"/>
      <c r="C920" s="11"/>
      <c r="D920" s="11"/>
      <c r="E920" s="11"/>
      <c r="F920" s="11"/>
      <c r="G920" s="11"/>
      <c r="H920" s="11"/>
      <c r="I920" s="24"/>
      <c r="J920" s="24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</row>
    <row r="921" spans="1:23" x14ac:dyDescent="0.2">
      <c r="A921" s="23"/>
      <c r="B921" s="8"/>
      <c r="C921" s="11"/>
      <c r="D921" s="11"/>
      <c r="E921" s="11"/>
      <c r="F921" s="11"/>
      <c r="G921" s="11"/>
      <c r="H921" s="11"/>
      <c r="I921" s="24"/>
      <c r="J921" s="24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</row>
    <row r="922" spans="1:23" x14ac:dyDescent="0.2">
      <c r="A922" s="23"/>
      <c r="B922" s="8"/>
      <c r="C922" s="11"/>
      <c r="D922" s="11"/>
      <c r="E922" s="11"/>
      <c r="F922" s="11"/>
      <c r="G922" s="11"/>
      <c r="H922" s="11"/>
      <c r="I922" s="24"/>
      <c r="J922" s="24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</row>
    <row r="923" spans="1:23" x14ac:dyDescent="0.2">
      <c r="A923" s="23"/>
      <c r="B923" s="8"/>
      <c r="C923" s="11"/>
      <c r="D923" s="11"/>
      <c r="E923" s="11"/>
      <c r="F923" s="11"/>
      <c r="G923" s="11"/>
      <c r="H923" s="11"/>
      <c r="I923" s="24"/>
      <c r="J923" s="24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</row>
    <row r="924" spans="1:23" x14ac:dyDescent="0.2">
      <c r="A924" s="23"/>
      <c r="B924" s="8"/>
      <c r="C924" s="11"/>
      <c r="D924" s="11"/>
      <c r="E924" s="11"/>
      <c r="F924" s="11"/>
      <c r="G924" s="11"/>
      <c r="H924" s="11"/>
      <c r="I924" s="24"/>
      <c r="J924" s="24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</row>
    <row r="925" spans="1:23" x14ac:dyDescent="0.2">
      <c r="A925" s="23"/>
      <c r="B925" s="8"/>
      <c r="C925" s="11"/>
      <c r="D925" s="11"/>
      <c r="E925" s="11"/>
      <c r="F925" s="11"/>
      <c r="G925" s="11"/>
      <c r="H925" s="11"/>
      <c r="I925" s="24"/>
      <c r="J925" s="24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</row>
    <row r="926" spans="1:23" x14ac:dyDescent="0.2">
      <c r="A926" s="23"/>
      <c r="B926" s="8"/>
      <c r="C926" s="11"/>
      <c r="D926" s="11"/>
      <c r="E926" s="11"/>
      <c r="F926" s="11"/>
      <c r="G926" s="11"/>
      <c r="H926" s="11"/>
      <c r="I926" s="24"/>
      <c r="J926" s="24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</row>
    <row r="927" spans="1:23" x14ac:dyDescent="0.2">
      <c r="A927" s="23"/>
      <c r="B927" s="8"/>
      <c r="C927" s="11"/>
      <c r="D927" s="11"/>
      <c r="E927" s="11"/>
      <c r="F927" s="11"/>
      <c r="G927" s="11"/>
      <c r="H927" s="11"/>
      <c r="I927" s="24"/>
      <c r="J927" s="24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</row>
    <row r="928" spans="1:23" x14ac:dyDescent="0.2">
      <c r="A928" s="23"/>
      <c r="B928" s="8"/>
      <c r="C928" s="11"/>
      <c r="D928" s="11"/>
      <c r="E928" s="11"/>
      <c r="F928" s="11"/>
      <c r="G928" s="11"/>
      <c r="H928" s="11"/>
      <c r="I928" s="24"/>
      <c r="J928" s="24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</row>
    <row r="929" spans="1:23" x14ac:dyDescent="0.2">
      <c r="A929" s="23"/>
      <c r="B929" s="8"/>
      <c r="C929" s="11"/>
      <c r="D929" s="11"/>
      <c r="E929" s="11"/>
      <c r="F929" s="11"/>
      <c r="G929" s="11"/>
      <c r="H929" s="11"/>
      <c r="I929" s="24"/>
      <c r="J929" s="24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</row>
    <row r="930" spans="1:23" x14ac:dyDescent="0.2">
      <c r="A930" s="23"/>
      <c r="B930" s="8"/>
      <c r="C930" s="11"/>
      <c r="D930" s="11"/>
      <c r="E930" s="11"/>
      <c r="F930" s="11"/>
      <c r="G930" s="11"/>
      <c r="H930" s="11"/>
      <c r="I930" s="24"/>
      <c r="J930" s="24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</row>
    <row r="931" spans="1:23" x14ac:dyDescent="0.2">
      <c r="A931" s="23"/>
      <c r="B931" s="8"/>
      <c r="C931" s="11"/>
      <c r="D931" s="11"/>
      <c r="E931" s="11"/>
      <c r="F931" s="11"/>
      <c r="G931" s="11"/>
      <c r="H931" s="11"/>
      <c r="I931" s="24"/>
      <c r="J931" s="24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</row>
    <row r="932" spans="1:23" x14ac:dyDescent="0.2">
      <c r="A932" s="23"/>
      <c r="B932" s="8"/>
      <c r="C932" s="11"/>
      <c r="D932" s="11"/>
      <c r="E932" s="11"/>
      <c r="F932" s="11"/>
      <c r="G932" s="11"/>
      <c r="H932" s="11"/>
      <c r="I932" s="24"/>
      <c r="J932" s="24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</row>
    <row r="933" spans="1:23" x14ac:dyDescent="0.2">
      <c r="A933" s="23"/>
      <c r="B933" s="8"/>
      <c r="C933" s="11"/>
      <c r="D933" s="11"/>
      <c r="E933" s="11"/>
      <c r="F933" s="11"/>
      <c r="G933" s="11"/>
      <c r="H933" s="11"/>
      <c r="I933" s="24"/>
      <c r="J933" s="24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</row>
    <row r="934" spans="1:23" x14ac:dyDescent="0.2">
      <c r="A934" s="23"/>
      <c r="B934" s="8"/>
      <c r="C934" s="11"/>
      <c r="D934" s="11"/>
      <c r="E934" s="11"/>
      <c r="F934" s="11"/>
      <c r="G934" s="11"/>
      <c r="H934" s="11"/>
      <c r="I934" s="24"/>
      <c r="J934" s="24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</row>
    <row r="935" spans="1:23" x14ac:dyDescent="0.2">
      <c r="A935" s="23"/>
      <c r="B935" s="8"/>
      <c r="C935" s="11"/>
      <c r="D935" s="11"/>
      <c r="E935" s="11"/>
      <c r="F935" s="11"/>
      <c r="G935" s="11"/>
      <c r="H935" s="11"/>
      <c r="I935" s="24"/>
      <c r="J935" s="24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</row>
    <row r="936" spans="1:23" x14ac:dyDescent="0.2">
      <c r="A936" s="23"/>
      <c r="B936" s="8"/>
      <c r="C936" s="11"/>
      <c r="D936" s="11"/>
      <c r="E936" s="11"/>
      <c r="F936" s="11"/>
      <c r="G936" s="11"/>
      <c r="H936" s="11"/>
      <c r="I936" s="24"/>
      <c r="J936" s="24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</row>
    <row r="937" spans="1:23" x14ac:dyDescent="0.2">
      <c r="A937" s="23"/>
      <c r="B937" s="8"/>
      <c r="C937" s="11"/>
      <c r="D937" s="11"/>
      <c r="E937" s="11"/>
      <c r="F937" s="11"/>
      <c r="G937" s="11"/>
      <c r="H937" s="11"/>
      <c r="I937" s="24"/>
      <c r="J937" s="24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</row>
    <row r="938" spans="1:23" x14ac:dyDescent="0.2">
      <c r="A938" s="23"/>
      <c r="B938" s="8"/>
      <c r="C938" s="11"/>
      <c r="D938" s="11"/>
      <c r="E938" s="11"/>
      <c r="F938" s="11"/>
      <c r="G938" s="11"/>
      <c r="H938" s="11"/>
      <c r="I938" s="24"/>
      <c r="J938" s="24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</row>
    <row r="939" spans="1:23" x14ac:dyDescent="0.2">
      <c r="A939" s="23"/>
      <c r="B939" s="8"/>
      <c r="C939" s="11"/>
      <c r="D939" s="11"/>
      <c r="E939" s="11"/>
      <c r="F939" s="11"/>
      <c r="G939" s="11"/>
      <c r="H939" s="11"/>
      <c r="I939" s="24"/>
      <c r="J939" s="24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</row>
    <row r="940" spans="1:23" x14ac:dyDescent="0.2">
      <c r="A940" s="23"/>
      <c r="B940" s="8"/>
      <c r="C940" s="11"/>
      <c r="D940" s="11"/>
      <c r="E940" s="11"/>
      <c r="F940" s="11"/>
      <c r="G940" s="11"/>
      <c r="H940" s="11"/>
      <c r="I940" s="24"/>
      <c r="J940" s="24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</row>
    <row r="941" spans="1:23" x14ac:dyDescent="0.2">
      <c r="A941" s="23"/>
      <c r="B941" s="8"/>
      <c r="C941" s="11"/>
      <c r="D941" s="11"/>
      <c r="E941" s="11"/>
      <c r="F941" s="11"/>
      <c r="G941" s="11"/>
      <c r="H941" s="11"/>
      <c r="I941" s="24"/>
      <c r="J941" s="24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</row>
    <row r="942" spans="1:23" x14ac:dyDescent="0.2">
      <c r="A942" s="23"/>
      <c r="B942" s="8"/>
      <c r="C942" s="11"/>
      <c r="D942" s="11"/>
      <c r="E942" s="11"/>
      <c r="F942" s="11"/>
      <c r="G942" s="11"/>
      <c r="H942" s="11"/>
      <c r="I942" s="24"/>
      <c r="J942" s="24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</row>
    <row r="943" spans="1:23" x14ac:dyDescent="0.2">
      <c r="A943" s="23"/>
      <c r="B943" s="8"/>
      <c r="C943" s="11"/>
      <c r="D943" s="11"/>
      <c r="E943" s="11"/>
      <c r="F943" s="11"/>
      <c r="G943" s="11"/>
      <c r="H943" s="11"/>
      <c r="I943" s="24"/>
      <c r="J943" s="24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</row>
    <row r="944" spans="1:23" x14ac:dyDescent="0.2">
      <c r="A944" s="23"/>
      <c r="B944" s="8"/>
      <c r="C944" s="11"/>
      <c r="D944" s="11"/>
      <c r="E944" s="11"/>
      <c r="F944" s="11"/>
      <c r="G944" s="11"/>
      <c r="H944" s="11"/>
      <c r="I944" s="24"/>
      <c r="J944" s="24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</row>
    <row r="945" spans="1:23" x14ac:dyDescent="0.2">
      <c r="A945" s="23"/>
      <c r="B945" s="8"/>
      <c r="C945" s="11"/>
      <c r="D945" s="11"/>
      <c r="E945" s="11"/>
      <c r="F945" s="11"/>
      <c r="G945" s="11"/>
      <c r="H945" s="11"/>
      <c r="I945" s="24"/>
      <c r="J945" s="24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</row>
    <row r="946" spans="1:23" x14ac:dyDescent="0.2">
      <c r="A946" s="23"/>
      <c r="B946" s="8"/>
      <c r="C946" s="11"/>
      <c r="D946" s="11"/>
      <c r="E946" s="11"/>
      <c r="F946" s="11"/>
      <c r="G946" s="11"/>
      <c r="H946" s="11"/>
      <c r="I946" s="24"/>
      <c r="J946" s="24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</row>
    <row r="947" spans="1:23" x14ac:dyDescent="0.2">
      <c r="A947" s="23"/>
      <c r="B947" s="8"/>
      <c r="C947" s="11"/>
      <c r="D947" s="11"/>
      <c r="E947" s="11"/>
      <c r="F947" s="11"/>
      <c r="G947" s="11"/>
      <c r="H947" s="11"/>
      <c r="I947" s="24"/>
      <c r="J947" s="24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</row>
    <row r="948" spans="1:23" x14ac:dyDescent="0.2">
      <c r="A948" s="23"/>
      <c r="B948" s="8"/>
      <c r="C948" s="11"/>
      <c r="D948" s="11"/>
      <c r="E948" s="11"/>
      <c r="F948" s="11"/>
      <c r="G948" s="11"/>
      <c r="H948" s="11"/>
      <c r="I948" s="24"/>
      <c r="J948" s="24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</row>
    <row r="949" spans="1:23" x14ac:dyDescent="0.2">
      <c r="A949" s="23"/>
      <c r="B949" s="8"/>
      <c r="C949" s="11"/>
      <c r="D949" s="11"/>
      <c r="E949" s="11"/>
      <c r="F949" s="11"/>
      <c r="G949" s="11"/>
      <c r="H949" s="11"/>
      <c r="I949" s="24"/>
      <c r="J949" s="24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</row>
    <row r="950" spans="1:23" x14ac:dyDescent="0.2">
      <c r="A950" s="23"/>
      <c r="B950" s="8"/>
      <c r="C950" s="11"/>
      <c r="D950" s="11"/>
      <c r="E950" s="11"/>
      <c r="F950" s="11"/>
      <c r="G950" s="11"/>
      <c r="H950" s="11"/>
      <c r="I950" s="24"/>
      <c r="J950" s="24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</row>
    <row r="951" spans="1:23" x14ac:dyDescent="0.2">
      <c r="A951" s="23"/>
      <c r="B951" s="8"/>
      <c r="C951" s="11"/>
      <c r="D951" s="11"/>
      <c r="E951" s="11"/>
      <c r="F951" s="11"/>
      <c r="G951" s="11"/>
      <c r="H951" s="11"/>
      <c r="I951" s="24"/>
      <c r="J951" s="24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</row>
    <row r="952" spans="1:23" x14ac:dyDescent="0.2">
      <c r="A952" s="23"/>
      <c r="B952" s="8"/>
      <c r="C952" s="11"/>
      <c r="D952" s="11"/>
      <c r="E952" s="11"/>
      <c r="F952" s="11"/>
      <c r="G952" s="11"/>
      <c r="H952" s="11"/>
      <c r="I952" s="24"/>
      <c r="J952" s="24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</row>
    <row r="953" spans="1:23" x14ac:dyDescent="0.2">
      <c r="A953" s="23"/>
      <c r="B953" s="8"/>
      <c r="C953" s="11"/>
      <c r="D953" s="11"/>
      <c r="E953" s="11"/>
      <c r="F953" s="11"/>
      <c r="G953" s="11"/>
      <c r="H953" s="11"/>
      <c r="I953" s="24"/>
      <c r="J953" s="24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</row>
    <row r="954" spans="1:23" x14ac:dyDescent="0.2">
      <c r="A954" s="23"/>
      <c r="B954" s="8"/>
      <c r="C954" s="11"/>
      <c r="D954" s="11"/>
      <c r="E954" s="11"/>
      <c r="F954" s="11"/>
      <c r="G954" s="11"/>
      <c r="H954" s="11"/>
      <c r="I954" s="24"/>
      <c r="J954" s="24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</row>
    <row r="955" spans="1:23" x14ac:dyDescent="0.2">
      <c r="A955" s="23"/>
      <c r="B955" s="8"/>
      <c r="C955" s="11"/>
      <c r="D955" s="11"/>
      <c r="E955" s="11"/>
      <c r="F955" s="11"/>
      <c r="G955" s="11"/>
      <c r="H955" s="11"/>
      <c r="I955" s="24"/>
      <c r="J955" s="24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</row>
    <row r="956" spans="1:23" x14ac:dyDescent="0.2">
      <c r="A956" s="23"/>
      <c r="B956" s="8"/>
      <c r="C956" s="11"/>
      <c r="D956" s="11"/>
      <c r="E956" s="11"/>
      <c r="F956" s="11"/>
      <c r="G956" s="11"/>
      <c r="H956" s="11"/>
      <c r="I956" s="24"/>
      <c r="J956" s="24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</row>
    <row r="957" spans="1:23" x14ac:dyDescent="0.2">
      <c r="A957" s="23"/>
      <c r="B957" s="8"/>
      <c r="C957" s="11"/>
      <c r="D957" s="11"/>
      <c r="E957" s="11"/>
      <c r="F957" s="11"/>
      <c r="G957" s="11"/>
      <c r="H957" s="11"/>
      <c r="I957" s="24"/>
      <c r="J957" s="24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</row>
    <row r="958" spans="1:23" x14ac:dyDescent="0.2">
      <c r="A958" s="23"/>
      <c r="B958" s="8"/>
      <c r="C958" s="11"/>
      <c r="D958" s="11"/>
      <c r="E958" s="11"/>
      <c r="F958" s="11"/>
      <c r="G958" s="11"/>
      <c r="H958" s="11"/>
      <c r="I958" s="24"/>
      <c r="J958" s="24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</row>
    <row r="959" spans="1:23" x14ac:dyDescent="0.2">
      <c r="A959" s="23"/>
      <c r="B959" s="8"/>
      <c r="C959" s="11"/>
      <c r="D959" s="11"/>
      <c r="E959" s="11"/>
      <c r="F959" s="11"/>
      <c r="G959" s="11"/>
      <c r="H959" s="11"/>
      <c r="I959" s="24"/>
      <c r="J959" s="24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</row>
    <row r="960" spans="1:23" x14ac:dyDescent="0.2">
      <c r="A960" s="23"/>
      <c r="B960" s="8"/>
      <c r="C960" s="11"/>
      <c r="D960" s="11"/>
      <c r="E960" s="11"/>
      <c r="F960" s="11"/>
      <c r="G960" s="11"/>
      <c r="H960" s="11"/>
      <c r="I960" s="24"/>
      <c r="J960" s="24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</row>
    <row r="961" spans="1:23" x14ac:dyDescent="0.2">
      <c r="A961" s="23"/>
      <c r="B961" s="8"/>
      <c r="C961" s="11"/>
      <c r="D961" s="11"/>
      <c r="E961" s="11"/>
      <c r="F961" s="11"/>
      <c r="G961" s="11"/>
      <c r="H961" s="11"/>
      <c r="I961" s="24"/>
      <c r="J961" s="24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</row>
    <row r="962" spans="1:23" x14ac:dyDescent="0.2">
      <c r="A962" s="23"/>
      <c r="B962" s="8"/>
      <c r="C962" s="11"/>
      <c r="D962" s="11"/>
      <c r="E962" s="11"/>
      <c r="F962" s="11"/>
      <c r="G962" s="11"/>
      <c r="H962" s="11"/>
      <c r="I962" s="24"/>
      <c r="J962" s="24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</row>
    <row r="963" spans="1:23" x14ac:dyDescent="0.2">
      <c r="A963" s="23"/>
      <c r="B963" s="8"/>
      <c r="C963" s="11"/>
      <c r="D963" s="11"/>
      <c r="E963" s="11"/>
      <c r="F963" s="11"/>
      <c r="G963" s="11"/>
      <c r="H963" s="11"/>
      <c r="I963" s="24"/>
      <c r="J963" s="24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</row>
    <row r="964" spans="1:23" x14ac:dyDescent="0.2">
      <c r="A964" s="23"/>
      <c r="B964" s="8"/>
      <c r="C964" s="11"/>
      <c r="D964" s="11"/>
      <c r="E964" s="11"/>
      <c r="F964" s="11"/>
      <c r="G964" s="11"/>
      <c r="H964" s="11"/>
      <c r="I964" s="24"/>
      <c r="J964" s="24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</row>
    <row r="965" spans="1:23" x14ac:dyDescent="0.2">
      <c r="A965" s="23"/>
      <c r="B965" s="8"/>
      <c r="C965" s="11"/>
      <c r="D965" s="11"/>
      <c r="E965" s="11"/>
      <c r="F965" s="11"/>
      <c r="G965" s="11"/>
      <c r="H965" s="11"/>
      <c r="I965" s="24"/>
      <c r="J965" s="24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</row>
    <row r="966" spans="1:23" x14ac:dyDescent="0.2">
      <c r="A966" s="23"/>
      <c r="B966" s="8"/>
      <c r="C966" s="11"/>
      <c r="D966" s="11"/>
      <c r="E966" s="11"/>
      <c r="F966" s="11"/>
      <c r="G966" s="11"/>
      <c r="H966" s="11"/>
      <c r="I966" s="24"/>
      <c r="J966" s="24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</row>
    <row r="967" spans="1:23" x14ac:dyDescent="0.2">
      <c r="A967" s="23"/>
      <c r="B967" s="8"/>
      <c r="C967" s="11"/>
      <c r="D967" s="11"/>
      <c r="E967" s="11"/>
      <c r="F967" s="11"/>
      <c r="G967" s="11"/>
      <c r="H967" s="11"/>
      <c r="I967" s="24"/>
      <c r="J967" s="24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</row>
    <row r="968" spans="1:23" x14ac:dyDescent="0.2">
      <c r="A968" s="23"/>
      <c r="B968" s="8"/>
      <c r="C968" s="11"/>
      <c r="D968" s="11"/>
      <c r="E968" s="11"/>
      <c r="F968" s="11"/>
      <c r="G968" s="11"/>
      <c r="H968" s="11"/>
      <c r="I968" s="24"/>
      <c r="J968" s="24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</row>
    <row r="969" spans="1:23" x14ac:dyDescent="0.2">
      <c r="A969" s="23"/>
      <c r="B969" s="8"/>
      <c r="C969" s="11"/>
      <c r="D969" s="11"/>
      <c r="E969" s="11"/>
      <c r="F969" s="11"/>
      <c r="G969" s="11"/>
      <c r="H969" s="11"/>
      <c r="I969" s="24"/>
      <c r="J969" s="24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</row>
  </sheetData>
  <autoFilter ref="A1:J969" xr:uid="{00000000-0009-0000-0000-000005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985"/>
  <sheetViews>
    <sheetView workbookViewId="0">
      <pane ySplit="1" topLeftCell="A2" activePane="bottomLeft" state="frozen"/>
      <selection pane="bottomLeft" activeCell="K12" sqref="K12"/>
    </sheetView>
  </sheetViews>
  <sheetFormatPr defaultColWidth="12.5703125" defaultRowHeight="15.75" customHeight="1" x14ac:dyDescent="0.2"/>
  <cols>
    <col min="1" max="1" width="18.42578125" customWidth="1"/>
    <col min="2" max="2" width="6.42578125" customWidth="1"/>
    <col min="3" max="3" width="10.140625" customWidth="1"/>
    <col min="4" max="4" width="11.140625" customWidth="1"/>
    <col min="5" max="5" width="8.7109375" customWidth="1"/>
    <col min="6" max="6" width="8" customWidth="1"/>
    <col min="7" max="7" width="6.85546875" customWidth="1"/>
    <col min="8" max="8" width="7.28515625" customWidth="1"/>
    <col min="9" max="9" width="6.7109375" customWidth="1"/>
    <col min="10" max="10" width="10.42578125" customWidth="1"/>
    <col min="11" max="11" width="12.7109375" customWidth="1"/>
    <col min="12" max="12" width="10.7109375" customWidth="1"/>
    <col min="13" max="13" width="12.42578125" customWidth="1"/>
    <col min="14" max="14" width="12" customWidth="1"/>
    <col min="15" max="15" width="14.85546875" customWidth="1"/>
  </cols>
  <sheetData>
    <row r="1" spans="1:15" x14ac:dyDescent="0.2">
      <c r="A1" s="42" t="s">
        <v>0</v>
      </c>
      <c r="B1" s="43" t="s">
        <v>1</v>
      </c>
      <c r="C1" s="44" t="s">
        <v>45</v>
      </c>
      <c r="D1" s="44" t="s">
        <v>46</v>
      </c>
      <c r="E1" s="44" t="s">
        <v>47</v>
      </c>
      <c r="F1" s="44" t="s">
        <v>48</v>
      </c>
      <c r="G1" s="44" t="s">
        <v>49</v>
      </c>
      <c r="H1" s="44" t="s">
        <v>50</v>
      </c>
      <c r="I1" s="44" t="s">
        <v>51</v>
      </c>
      <c r="J1" s="44" t="s">
        <v>52</v>
      </c>
      <c r="K1" s="44" t="s">
        <v>53</v>
      </c>
      <c r="L1" s="44" t="s">
        <v>54</v>
      </c>
      <c r="M1" s="44" t="s">
        <v>55</v>
      </c>
      <c r="N1" s="44" t="s">
        <v>56</v>
      </c>
      <c r="O1" s="44" t="s">
        <v>57</v>
      </c>
    </row>
    <row r="2" spans="1:15" ht="15.75" customHeight="1" x14ac:dyDescent="0.25">
      <c r="A2" s="45" t="s">
        <v>2</v>
      </c>
      <c r="B2" s="46">
        <v>2022</v>
      </c>
      <c r="C2" s="47">
        <v>643</v>
      </c>
      <c r="D2" s="47">
        <v>558</v>
      </c>
      <c r="E2" s="47">
        <v>692</v>
      </c>
      <c r="F2" s="47">
        <v>458</v>
      </c>
      <c r="G2" s="47">
        <v>579</v>
      </c>
      <c r="H2" s="47">
        <v>4608</v>
      </c>
      <c r="I2" s="47">
        <v>15370</v>
      </c>
      <c r="J2" s="47">
        <v>17688</v>
      </c>
      <c r="K2" s="47">
        <v>20246</v>
      </c>
      <c r="L2" s="47">
        <v>7493</v>
      </c>
      <c r="M2" s="47">
        <v>1189</v>
      </c>
      <c r="N2" s="47">
        <v>828</v>
      </c>
      <c r="O2" s="48">
        <f t="shared" ref="O2:O239" si="0">SUM(C2:N2)</f>
        <v>70352</v>
      </c>
    </row>
    <row r="3" spans="1:15" ht="15.75" customHeight="1" x14ac:dyDescent="0.25">
      <c r="A3" s="45" t="s">
        <v>16</v>
      </c>
      <c r="B3" s="46">
        <v>2022</v>
      </c>
      <c r="C3" s="47">
        <v>138</v>
      </c>
      <c r="D3" s="47">
        <v>120</v>
      </c>
      <c r="E3" s="47">
        <v>149</v>
      </c>
      <c r="F3" s="47">
        <v>99</v>
      </c>
      <c r="G3" s="47">
        <v>125</v>
      </c>
      <c r="H3" s="47">
        <v>992</v>
      </c>
      <c r="I3" s="47">
        <v>3307</v>
      </c>
      <c r="J3" s="47">
        <v>3810</v>
      </c>
      <c r="K3" s="47">
        <v>4356</v>
      </c>
      <c r="L3" s="47">
        <v>1612</v>
      </c>
      <c r="M3" s="47">
        <v>256</v>
      </c>
      <c r="N3" s="47">
        <v>178</v>
      </c>
      <c r="O3" s="48">
        <f t="shared" si="0"/>
        <v>15142</v>
      </c>
    </row>
    <row r="4" spans="1:15" ht="15.75" customHeight="1" x14ac:dyDescent="0.25">
      <c r="A4" s="45" t="s">
        <v>42</v>
      </c>
      <c r="B4" s="46">
        <v>2022</v>
      </c>
      <c r="C4" s="47">
        <v>1</v>
      </c>
      <c r="D4" s="47">
        <v>0</v>
      </c>
      <c r="E4" s="47">
        <v>1</v>
      </c>
      <c r="F4" s="47">
        <v>0</v>
      </c>
      <c r="G4" s="47">
        <v>0</v>
      </c>
      <c r="H4" s="47">
        <v>4</v>
      </c>
      <c r="I4" s="47">
        <v>13</v>
      </c>
      <c r="J4" s="47">
        <v>15</v>
      </c>
      <c r="K4" s="47">
        <v>17</v>
      </c>
      <c r="L4" s="47">
        <v>6</v>
      </c>
      <c r="M4" s="47">
        <v>1</v>
      </c>
      <c r="N4" s="47">
        <v>1</v>
      </c>
      <c r="O4" s="48">
        <f t="shared" si="0"/>
        <v>59</v>
      </c>
    </row>
    <row r="5" spans="1:15" ht="15.75" customHeight="1" x14ac:dyDescent="0.25">
      <c r="A5" s="45" t="s">
        <v>13</v>
      </c>
      <c r="B5" s="46">
        <v>2022</v>
      </c>
      <c r="C5" s="47">
        <v>19</v>
      </c>
      <c r="D5" s="47">
        <v>16</v>
      </c>
      <c r="E5" s="47">
        <v>20</v>
      </c>
      <c r="F5" s="47">
        <v>13</v>
      </c>
      <c r="G5" s="47">
        <v>17</v>
      </c>
      <c r="H5" s="47">
        <v>135</v>
      </c>
      <c r="I5" s="47">
        <v>450</v>
      </c>
      <c r="J5" s="47">
        <v>518</v>
      </c>
      <c r="K5" s="47">
        <v>593</v>
      </c>
      <c r="L5" s="47">
        <v>220</v>
      </c>
      <c r="M5" s="47">
        <v>35</v>
      </c>
      <c r="N5" s="47">
        <v>24</v>
      </c>
      <c r="O5" s="48">
        <f t="shared" si="0"/>
        <v>2060</v>
      </c>
    </row>
    <row r="6" spans="1:15" ht="15.75" customHeight="1" x14ac:dyDescent="0.25">
      <c r="A6" s="45" t="s">
        <v>9</v>
      </c>
      <c r="B6" s="46">
        <v>2022</v>
      </c>
      <c r="C6" s="47">
        <v>547</v>
      </c>
      <c r="D6" s="47">
        <v>475</v>
      </c>
      <c r="E6" s="47">
        <v>589</v>
      </c>
      <c r="F6" s="47">
        <v>401</v>
      </c>
      <c r="G6" s="47">
        <v>496</v>
      </c>
      <c r="H6" s="47">
        <v>3921</v>
      </c>
      <c r="I6" s="47">
        <v>13073</v>
      </c>
      <c r="J6" s="47">
        <v>15044</v>
      </c>
      <c r="K6" s="47">
        <v>17220</v>
      </c>
      <c r="L6" s="47">
        <v>6373</v>
      </c>
      <c r="M6" s="47">
        <v>1011</v>
      </c>
      <c r="N6" s="47">
        <v>704</v>
      </c>
      <c r="O6" s="48">
        <f t="shared" si="0"/>
        <v>59854</v>
      </c>
    </row>
    <row r="7" spans="1:15" ht="15.75" customHeight="1" x14ac:dyDescent="0.25">
      <c r="A7" s="45" t="s">
        <v>43</v>
      </c>
      <c r="B7" s="46">
        <v>2022</v>
      </c>
      <c r="C7" s="47">
        <v>5</v>
      </c>
      <c r="D7" s="47">
        <v>4</v>
      </c>
      <c r="E7" s="47">
        <v>5</v>
      </c>
      <c r="F7" s="47">
        <v>3</v>
      </c>
      <c r="G7" s="47">
        <v>4</v>
      </c>
      <c r="H7" s="47">
        <v>35</v>
      </c>
      <c r="I7" s="47">
        <v>117</v>
      </c>
      <c r="J7" s="47">
        <v>135</v>
      </c>
      <c r="K7" s="47">
        <v>154</v>
      </c>
      <c r="L7" s="47">
        <v>57</v>
      </c>
      <c r="M7" s="47">
        <v>9</v>
      </c>
      <c r="N7" s="47">
        <v>6</v>
      </c>
      <c r="O7" s="48">
        <f t="shared" si="0"/>
        <v>534</v>
      </c>
    </row>
    <row r="8" spans="1:15" ht="15.75" customHeight="1" x14ac:dyDescent="0.25">
      <c r="A8" s="45" t="s">
        <v>11</v>
      </c>
      <c r="B8" s="46">
        <v>2022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8">
        <f t="shared" si="0"/>
        <v>0</v>
      </c>
    </row>
    <row r="9" spans="1:15" ht="15.75" customHeight="1" x14ac:dyDescent="0.25">
      <c r="A9" s="45" t="s">
        <v>25</v>
      </c>
      <c r="B9" s="46">
        <v>2022</v>
      </c>
      <c r="C9" s="47">
        <v>1</v>
      </c>
      <c r="D9" s="47">
        <v>1</v>
      </c>
      <c r="E9" s="47">
        <v>1</v>
      </c>
      <c r="F9" s="47">
        <v>1</v>
      </c>
      <c r="G9" s="47">
        <v>1</v>
      </c>
      <c r="H9" s="47">
        <v>8</v>
      </c>
      <c r="I9" s="47">
        <v>28</v>
      </c>
      <c r="J9" s="47">
        <v>32</v>
      </c>
      <c r="K9" s="47">
        <v>37</v>
      </c>
      <c r="L9" s="47">
        <v>14</v>
      </c>
      <c r="M9" s="47">
        <v>2</v>
      </c>
      <c r="N9" s="47">
        <v>1</v>
      </c>
      <c r="O9" s="48">
        <f t="shared" si="0"/>
        <v>127</v>
      </c>
    </row>
    <row r="10" spans="1:15" ht="15.75" customHeight="1" x14ac:dyDescent="0.25">
      <c r="A10" s="45" t="s">
        <v>7</v>
      </c>
      <c r="B10" s="46">
        <v>2022</v>
      </c>
      <c r="C10" s="47">
        <v>175</v>
      </c>
      <c r="D10" s="47">
        <v>152</v>
      </c>
      <c r="E10" s="47">
        <v>188</v>
      </c>
      <c r="F10" s="47">
        <v>126</v>
      </c>
      <c r="G10" s="47">
        <v>159</v>
      </c>
      <c r="H10" s="47">
        <v>1245</v>
      </c>
      <c r="I10" s="47">
        <v>4147</v>
      </c>
      <c r="J10" s="47">
        <v>4771</v>
      </c>
      <c r="K10" s="47">
        <v>5461</v>
      </c>
      <c r="L10" s="47">
        <v>2022</v>
      </c>
      <c r="M10" s="47">
        <v>322</v>
      </c>
      <c r="N10" s="47">
        <v>227</v>
      </c>
      <c r="O10" s="48">
        <f t="shared" si="0"/>
        <v>18995</v>
      </c>
    </row>
    <row r="11" spans="1:15" ht="15.75" customHeight="1" x14ac:dyDescent="0.25">
      <c r="A11" s="45" t="s">
        <v>12</v>
      </c>
      <c r="B11" s="46">
        <v>2022</v>
      </c>
      <c r="C11" s="47">
        <v>216</v>
      </c>
      <c r="D11" s="47">
        <v>187</v>
      </c>
      <c r="E11" s="47">
        <v>232</v>
      </c>
      <c r="F11" s="47">
        <v>154</v>
      </c>
      <c r="G11" s="47">
        <v>195</v>
      </c>
      <c r="H11" s="47">
        <v>1547</v>
      </c>
      <c r="I11" s="47">
        <v>5160</v>
      </c>
      <c r="J11" s="47">
        <v>5938</v>
      </c>
      <c r="K11" s="47">
        <v>6797</v>
      </c>
      <c r="L11" s="47">
        <v>2516</v>
      </c>
      <c r="M11" s="47">
        <v>399</v>
      </c>
      <c r="N11" s="47">
        <v>278</v>
      </c>
      <c r="O11" s="48">
        <f t="shared" si="0"/>
        <v>23619</v>
      </c>
    </row>
    <row r="12" spans="1:15" ht="15.75" customHeight="1" x14ac:dyDescent="0.25">
      <c r="A12" s="45" t="s">
        <v>14</v>
      </c>
      <c r="B12" s="46">
        <v>2022</v>
      </c>
      <c r="C12" s="47">
        <v>234</v>
      </c>
      <c r="D12" s="47">
        <v>203</v>
      </c>
      <c r="E12" s="47">
        <v>251</v>
      </c>
      <c r="F12" s="47">
        <v>171</v>
      </c>
      <c r="G12" s="47">
        <v>215</v>
      </c>
      <c r="H12" s="47">
        <v>1697</v>
      </c>
      <c r="I12" s="47">
        <v>5705</v>
      </c>
      <c r="J12" s="47">
        <v>6604</v>
      </c>
      <c r="K12" s="47">
        <v>7400</v>
      </c>
      <c r="L12" s="47">
        <v>2751</v>
      </c>
      <c r="M12" s="47">
        <v>436</v>
      </c>
      <c r="N12" s="47">
        <v>305</v>
      </c>
      <c r="O12" s="48">
        <f t="shared" si="0"/>
        <v>25972</v>
      </c>
    </row>
    <row r="13" spans="1:15" ht="15.75" customHeight="1" x14ac:dyDescent="0.25">
      <c r="A13" s="45" t="s">
        <v>15</v>
      </c>
      <c r="B13" s="46">
        <v>2022</v>
      </c>
      <c r="C13" s="47">
        <v>408</v>
      </c>
      <c r="D13" s="47">
        <v>354</v>
      </c>
      <c r="E13" s="47">
        <v>439</v>
      </c>
      <c r="F13" s="47">
        <v>294</v>
      </c>
      <c r="G13" s="47">
        <v>665</v>
      </c>
      <c r="H13" s="47">
        <v>3782</v>
      </c>
      <c r="I13" s="47">
        <v>10682</v>
      </c>
      <c r="J13" s="47">
        <v>12064</v>
      </c>
      <c r="K13" s="47">
        <v>13147</v>
      </c>
      <c r="L13" s="47">
        <v>4836</v>
      </c>
      <c r="M13" s="47">
        <v>790</v>
      </c>
      <c r="N13" s="47">
        <v>535</v>
      </c>
      <c r="O13" s="48">
        <f t="shared" si="0"/>
        <v>47996</v>
      </c>
    </row>
    <row r="14" spans="1:15" ht="15.75" customHeight="1" x14ac:dyDescent="0.25">
      <c r="A14" s="45" t="s">
        <v>19</v>
      </c>
      <c r="B14" s="46">
        <v>2022</v>
      </c>
      <c r="C14" s="47">
        <v>29</v>
      </c>
      <c r="D14" s="47">
        <v>25</v>
      </c>
      <c r="E14" s="47">
        <v>31</v>
      </c>
      <c r="F14" s="47">
        <v>21</v>
      </c>
      <c r="G14" s="47">
        <v>26</v>
      </c>
      <c r="H14" s="47">
        <v>207</v>
      </c>
      <c r="I14" s="47">
        <v>689</v>
      </c>
      <c r="J14" s="47">
        <v>793</v>
      </c>
      <c r="K14" s="47">
        <v>907</v>
      </c>
      <c r="L14" s="47">
        <v>336</v>
      </c>
      <c r="M14" s="47">
        <v>53</v>
      </c>
      <c r="N14" s="47">
        <v>37</v>
      </c>
      <c r="O14" s="48">
        <f t="shared" si="0"/>
        <v>3154</v>
      </c>
    </row>
    <row r="15" spans="1:15" ht="15.75" customHeight="1" x14ac:dyDescent="0.25">
      <c r="A15" s="45" t="s">
        <v>21</v>
      </c>
      <c r="B15" s="46">
        <v>2022</v>
      </c>
      <c r="C15" s="47">
        <v>7</v>
      </c>
      <c r="D15" s="47">
        <v>6</v>
      </c>
      <c r="E15" s="47">
        <v>8</v>
      </c>
      <c r="F15" s="47">
        <v>5</v>
      </c>
      <c r="G15" s="47">
        <v>6</v>
      </c>
      <c r="H15" s="47">
        <v>50</v>
      </c>
      <c r="I15" s="47">
        <v>167</v>
      </c>
      <c r="J15" s="47">
        <v>192</v>
      </c>
      <c r="K15" s="47">
        <v>220</v>
      </c>
      <c r="L15" s="47">
        <v>81</v>
      </c>
      <c r="M15" s="47">
        <v>13</v>
      </c>
      <c r="N15" s="47">
        <v>9</v>
      </c>
      <c r="O15" s="48">
        <f t="shared" si="0"/>
        <v>764</v>
      </c>
    </row>
    <row r="16" spans="1:15" ht="15.75" customHeight="1" x14ac:dyDescent="0.25">
      <c r="A16" s="45" t="s">
        <v>20</v>
      </c>
      <c r="B16" s="46">
        <v>2022</v>
      </c>
      <c r="C16" s="47">
        <v>2</v>
      </c>
      <c r="D16" s="47">
        <v>2</v>
      </c>
      <c r="E16" s="47">
        <v>2</v>
      </c>
      <c r="F16" s="47">
        <v>2</v>
      </c>
      <c r="G16" s="47">
        <v>2</v>
      </c>
      <c r="H16" s="47">
        <v>15</v>
      </c>
      <c r="I16" s="47">
        <v>52</v>
      </c>
      <c r="J16" s="47">
        <v>59</v>
      </c>
      <c r="K16" s="47">
        <v>68</v>
      </c>
      <c r="L16" s="47">
        <v>25</v>
      </c>
      <c r="M16" s="47">
        <v>4</v>
      </c>
      <c r="N16" s="47">
        <v>3</v>
      </c>
      <c r="O16" s="48">
        <f t="shared" si="0"/>
        <v>236</v>
      </c>
    </row>
    <row r="17" spans="1:15" ht="15.75" customHeight="1" x14ac:dyDescent="0.25">
      <c r="A17" s="45" t="s">
        <v>22</v>
      </c>
      <c r="B17" s="46">
        <v>2022</v>
      </c>
      <c r="C17" s="47">
        <v>1</v>
      </c>
      <c r="D17" s="47">
        <v>1</v>
      </c>
      <c r="E17" s="47">
        <v>2</v>
      </c>
      <c r="F17" s="47">
        <v>1</v>
      </c>
      <c r="G17" s="47">
        <v>1</v>
      </c>
      <c r="H17" s="47">
        <v>11</v>
      </c>
      <c r="I17" s="47">
        <v>36</v>
      </c>
      <c r="J17" s="47">
        <v>41</v>
      </c>
      <c r="K17" s="47">
        <v>47</v>
      </c>
      <c r="L17" s="47">
        <v>17</v>
      </c>
      <c r="M17" s="47">
        <v>3</v>
      </c>
      <c r="N17" s="47">
        <v>2</v>
      </c>
      <c r="O17" s="48">
        <f t="shared" si="0"/>
        <v>163</v>
      </c>
    </row>
    <row r="18" spans="1:15" ht="15.75" customHeight="1" x14ac:dyDescent="0.25">
      <c r="A18" s="45" t="s">
        <v>23</v>
      </c>
      <c r="B18" s="46">
        <v>2022</v>
      </c>
      <c r="C18" s="47">
        <v>2</v>
      </c>
      <c r="D18" s="47">
        <v>2</v>
      </c>
      <c r="E18" s="47">
        <v>2</v>
      </c>
      <c r="F18" s="47">
        <v>1</v>
      </c>
      <c r="G18" s="47">
        <v>2</v>
      </c>
      <c r="H18" s="47">
        <v>13</v>
      </c>
      <c r="I18" s="47">
        <v>42</v>
      </c>
      <c r="J18" s="47">
        <v>49</v>
      </c>
      <c r="K18" s="47">
        <v>56</v>
      </c>
      <c r="L18" s="47">
        <v>21</v>
      </c>
      <c r="M18" s="47">
        <v>3</v>
      </c>
      <c r="N18" s="47">
        <v>2</v>
      </c>
      <c r="O18" s="48">
        <f t="shared" si="0"/>
        <v>195</v>
      </c>
    </row>
    <row r="19" spans="1:15" ht="15.75" customHeight="1" x14ac:dyDescent="0.25">
      <c r="A19" s="45" t="s">
        <v>6</v>
      </c>
      <c r="B19" s="46">
        <v>2022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8">
        <f t="shared" si="0"/>
        <v>0</v>
      </c>
    </row>
    <row r="20" spans="1:15" ht="15.75" customHeight="1" x14ac:dyDescent="0.25">
      <c r="A20" s="45" t="s">
        <v>10</v>
      </c>
      <c r="B20" s="46">
        <v>2022</v>
      </c>
      <c r="C20" s="47">
        <v>1040</v>
      </c>
      <c r="D20" s="47">
        <v>902</v>
      </c>
      <c r="E20" s="47">
        <v>1118</v>
      </c>
      <c r="F20" s="47">
        <v>740</v>
      </c>
      <c r="G20" s="47">
        <v>936</v>
      </c>
      <c r="H20" s="47">
        <v>7450</v>
      </c>
      <c r="I20" s="47">
        <v>24849</v>
      </c>
      <c r="J20" s="47">
        <v>28596</v>
      </c>
      <c r="K20" s="47">
        <v>32733</v>
      </c>
      <c r="L20" s="47">
        <v>12115</v>
      </c>
      <c r="M20" s="47">
        <v>1922</v>
      </c>
      <c r="N20" s="47">
        <v>1338</v>
      </c>
      <c r="O20" s="48">
        <f t="shared" si="0"/>
        <v>113739</v>
      </c>
    </row>
    <row r="21" spans="1:15" ht="15.75" customHeight="1" x14ac:dyDescent="0.25">
      <c r="A21" s="45" t="s">
        <v>30</v>
      </c>
      <c r="B21" s="46">
        <v>2022</v>
      </c>
      <c r="C21" s="47">
        <v>4</v>
      </c>
      <c r="D21" s="47">
        <v>3</v>
      </c>
      <c r="E21" s="47">
        <v>4</v>
      </c>
      <c r="F21" s="47">
        <v>3</v>
      </c>
      <c r="G21" s="47">
        <v>4</v>
      </c>
      <c r="H21" s="47">
        <v>28</v>
      </c>
      <c r="I21" s="47">
        <v>93</v>
      </c>
      <c r="J21" s="47">
        <v>107</v>
      </c>
      <c r="K21" s="47">
        <v>123</v>
      </c>
      <c r="L21" s="47">
        <v>45</v>
      </c>
      <c r="M21" s="47">
        <v>7</v>
      </c>
      <c r="N21" s="47">
        <v>5</v>
      </c>
      <c r="O21" s="48">
        <f t="shared" si="0"/>
        <v>426</v>
      </c>
    </row>
    <row r="22" spans="1:15" ht="15.75" customHeight="1" x14ac:dyDescent="0.25">
      <c r="A22" s="45" t="s">
        <v>31</v>
      </c>
      <c r="B22" s="46">
        <v>2022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1</v>
      </c>
      <c r="I22" s="47">
        <v>3</v>
      </c>
      <c r="J22" s="47">
        <v>4</v>
      </c>
      <c r="K22" s="47">
        <v>4</v>
      </c>
      <c r="L22" s="47">
        <v>1</v>
      </c>
      <c r="M22" s="47">
        <v>0</v>
      </c>
      <c r="N22" s="47">
        <v>0</v>
      </c>
      <c r="O22" s="48">
        <f t="shared" si="0"/>
        <v>13</v>
      </c>
    </row>
    <row r="23" spans="1:15" x14ac:dyDescent="0.25">
      <c r="A23" s="45" t="s">
        <v>17</v>
      </c>
      <c r="B23" s="46">
        <v>2022</v>
      </c>
      <c r="C23" s="47">
        <v>58</v>
      </c>
      <c r="D23" s="47">
        <v>51</v>
      </c>
      <c r="E23" s="47">
        <v>63</v>
      </c>
      <c r="F23" s="47">
        <v>42</v>
      </c>
      <c r="G23" s="47">
        <v>53</v>
      </c>
      <c r="H23" s="47">
        <v>418</v>
      </c>
      <c r="I23" s="47">
        <v>1395</v>
      </c>
      <c r="J23" s="47">
        <v>1605</v>
      </c>
      <c r="K23" s="47">
        <v>1837</v>
      </c>
      <c r="L23" s="47">
        <v>680</v>
      </c>
      <c r="M23" s="47">
        <v>108</v>
      </c>
      <c r="N23" s="47">
        <v>75</v>
      </c>
      <c r="O23" s="48">
        <f t="shared" si="0"/>
        <v>6385</v>
      </c>
    </row>
    <row r="24" spans="1:15" x14ac:dyDescent="0.25">
      <c r="A24" s="45" t="s">
        <v>18</v>
      </c>
      <c r="B24" s="46">
        <v>2022</v>
      </c>
      <c r="C24" s="47">
        <v>234</v>
      </c>
      <c r="D24" s="47">
        <v>203</v>
      </c>
      <c r="E24" s="47">
        <v>252</v>
      </c>
      <c r="F24" s="47">
        <v>167</v>
      </c>
      <c r="G24" s="47">
        <v>211</v>
      </c>
      <c r="H24" s="47">
        <v>1679</v>
      </c>
      <c r="I24" s="47">
        <v>5599</v>
      </c>
      <c r="J24" s="47">
        <v>6444</v>
      </c>
      <c r="K24" s="47">
        <v>7376</v>
      </c>
      <c r="L24" s="47">
        <v>2738</v>
      </c>
      <c r="M24" s="47">
        <v>433</v>
      </c>
      <c r="N24" s="47">
        <v>302</v>
      </c>
      <c r="O24" s="48">
        <f t="shared" si="0"/>
        <v>25638</v>
      </c>
    </row>
    <row r="25" spans="1:15" x14ac:dyDescent="0.25">
      <c r="A25" s="45" t="s">
        <v>32</v>
      </c>
      <c r="B25" s="46">
        <v>2022</v>
      </c>
      <c r="C25" s="47">
        <v>29</v>
      </c>
      <c r="D25" s="47">
        <v>25</v>
      </c>
      <c r="E25" s="47">
        <v>31</v>
      </c>
      <c r="F25" s="47">
        <v>21</v>
      </c>
      <c r="G25" s="47">
        <v>26</v>
      </c>
      <c r="H25" s="47">
        <v>207</v>
      </c>
      <c r="I25" s="47">
        <v>690</v>
      </c>
      <c r="J25" s="47">
        <v>793</v>
      </c>
      <c r="K25" s="47">
        <v>908</v>
      </c>
      <c r="L25" s="47">
        <v>336</v>
      </c>
      <c r="M25" s="47">
        <v>53</v>
      </c>
      <c r="N25" s="47">
        <v>37</v>
      </c>
      <c r="O25" s="48">
        <f t="shared" si="0"/>
        <v>3156</v>
      </c>
    </row>
    <row r="26" spans="1:15" x14ac:dyDescent="0.25">
      <c r="A26" s="45" t="s">
        <v>33</v>
      </c>
      <c r="B26" s="46">
        <v>2022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1</v>
      </c>
      <c r="I26" s="47">
        <v>2</v>
      </c>
      <c r="J26" s="47">
        <v>2</v>
      </c>
      <c r="K26" s="47">
        <v>2</v>
      </c>
      <c r="L26" s="47">
        <v>1</v>
      </c>
      <c r="M26" s="47">
        <v>0</v>
      </c>
      <c r="N26" s="47">
        <v>0</v>
      </c>
      <c r="O26" s="48">
        <f t="shared" si="0"/>
        <v>8</v>
      </c>
    </row>
    <row r="27" spans="1:15" x14ac:dyDescent="0.25">
      <c r="A27" s="45" t="s">
        <v>5</v>
      </c>
      <c r="B27" s="46">
        <v>2022</v>
      </c>
      <c r="C27" s="47">
        <v>17</v>
      </c>
      <c r="D27" s="47">
        <v>15</v>
      </c>
      <c r="E27" s="47">
        <v>18</v>
      </c>
      <c r="F27" s="47">
        <v>12</v>
      </c>
      <c r="G27" s="47">
        <v>15</v>
      </c>
      <c r="H27" s="47">
        <v>122</v>
      </c>
      <c r="I27" s="47">
        <v>407</v>
      </c>
      <c r="J27" s="47">
        <v>469</v>
      </c>
      <c r="K27" s="47">
        <v>537</v>
      </c>
      <c r="L27" s="47">
        <v>199</v>
      </c>
      <c r="M27" s="47">
        <v>32</v>
      </c>
      <c r="N27" s="47">
        <v>22</v>
      </c>
      <c r="O27" s="48">
        <f t="shared" si="0"/>
        <v>1865</v>
      </c>
    </row>
    <row r="28" spans="1:15" x14ac:dyDescent="0.25">
      <c r="A28" s="45" t="s">
        <v>28</v>
      </c>
      <c r="B28" s="46">
        <v>2022</v>
      </c>
      <c r="C28" s="47">
        <v>44</v>
      </c>
      <c r="D28" s="47">
        <v>38</v>
      </c>
      <c r="E28" s="47">
        <v>47</v>
      </c>
      <c r="F28" s="47">
        <v>31</v>
      </c>
      <c r="G28" s="47">
        <v>39</v>
      </c>
      <c r="H28" s="47">
        <v>314</v>
      </c>
      <c r="I28" s="47">
        <v>1048</v>
      </c>
      <c r="J28" s="47">
        <v>1206</v>
      </c>
      <c r="K28" s="47">
        <v>1380</v>
      </c>
      <c r="L28" s="47">
        <v>511</v>
      </c>
      <c r="M28" s="47">
        <v>81</v>
      </c>
      <c r="N28" s="47">
        <v>56</v>
      </c>
      <c r="O28" s="48">
        <f t="shared" si="0"/>
        <v>4795</v>
      </c>
    </row>
    <row r="29" spans="1:15" x14ac:dyDescent="0.25">
      <c r="A29" s="45" t="s">
        <v>27</v>
      </c>
      <c r="B29" s="46">
        <v>2022</v>
      </c>
      <c r="C29" s="47">
        <v>277</v>
      </c>
      <c r="D29" s="47">
        <v>239</v>
      </c>
      <c r="E29" s="47">
        <v>296</v>
      </c>
      <c r="F29" s="47">
        <v>200</v>
      </c>
      <c r="G29" s="47">
        <v>261</v>
      </c>
      <c r="H29" s="47">
        <v>1987</v>
      </c>
      <c r="I29" s="47">
        <v>6579</v>
      </c>
      <c r="J29" s="47">
        <v>7568</v>
      </c>
      <c r="K29" s="47">
        <v>8661</v>
      </c>
      <c r="L29" s="47">
        <v>3211</v>
      </c>
      <c r="M29" s="47">
        <v>513</v>
      </c>
      <c r="N29" s="47">
        <v>357</v>
      </c>
      <c r="O29" s="48">
        <f t="shared" si="0"/>
        <v>30149</v>
      </c>
    </row>
    <row r="30" spans="1:15" x14ac:dyDescent="0.25">
      <c r="A30" s="45" t="s">
        <v>26</v>
      </c>
      <c r="B30" s="46">
        <v>2022</v>
      </c>
      <c r="C30" s="47">
        <v>31</v>
      </c>
      <c r="D30" s="47">
        <v>27</v>
      </c>
      <c r="E30" s="47">
        <v>34</v>
      </c>
      <c r="F30" s="47">
        <v>22</v>
      </c>
      <c r="G30" s="47">
        <v>28</v>
      </c>
      <c r="H30" s="47">
        <v>224</v>
      </c>
      <c r="I30" s="47">
        <v>747</v>
      </c>
      <c r="J30" s="47">
        <v>859</v>
      </c>
      <c r="K30" s="47">
        <v>984</v>
      </c>
      <c r="L30" s="47">
        <v>364</v>
      </c>
      <c r="M30" s="47">
        <v>58</v>
      </c>
      <c r="N30" s="47">
        <v>40</v>
      </c>
      <c r="O30" s="48">
        <f t="shared" si="0"/>
        <v>3418</v>
      </c>
    </row>
    <row r="31" spans="1:15" x14ac:dyDescent="0.25">
      <c r="A31" s="45" t="s">
        <v>29</v>
      </c>
      <c r="B31" s="46">
        <v>2022</v>
      </c>
      <c r="C31" s="47">
        <v>25</v>
      </c>
      <c r="D31" s="47">
        <v>22</v>
      </c>
      <c r="E31" s="47">
        <v>27</v>
      </c>
      <c r="F31" s="47">
        <v>18</v>
      </c>
      <c r="G31" s="47">
        <v>22</v>
      </c>
      <c r="H31" s="47">
        <v>179</v>
      </c>
      <c r="I31" s="47">
        <v>597</v>
      </c>
      <c r="J31" s="47">
        <v>687</v>
      </c>
      <c r="K31" s="47">
        <v>786</v>
      </c>
      <c r="L31" s="47">
        <v>291</v>
      </c>
      <c r="M31" s="47">
        <v>46</v>
      </c>
      <c r="N31" s="47">
        <v>32</v>
      </c>
      <c r="O31" s="48">
        <f t="shared" si="0"/>
        <v>2732</v>
      </c>
    </row>
    <row r="32" spans="1:15" x14ac:dyDescent="0.25">
      <c r="A32" s="45" t="s">
        <v>24</v>
      </c>
      <c r="B32" s="46">
        <v>2022</v>
      </c>
      <c r="C32" s="47">
        <v>33</v>
      </c>
      <c r="D32" s="47">
        <v>29</v>
      </c>
      <c r="E32" s="47">
        <v>36</v>
      </c>
      <c r="F32" s="47">
        <v>24</v>
      </c>
      <c r="G32" s="47">
        <v>30</v>
      </c>
      <c r="H32" s="47">
        <v>238</v>
      </c>
      <c r="I32" s="47">
        <v>793</v>
      </c>
      <c r="J32" s="47">
        <v>913</v>
      </c>
      <c r="K32" s="47">
        <v>1045</v>
      </c>
      <c r="L32" s="47">
        <v>387</v>
      </c>
      <c r="M32" s="47">
        <v>61</v>
      </c>
      <c r="N32" s="47">
        <v>43</v>
      </c>
      <c r="O32" s="48">
        <f t="shared" si="0"/>
        <v>3632</v>
      </c>
    </row>
    <row r="33" spans="1:15" x14ac:dyDescent="0.25">
      <c r="A33" s="45" t="s">
        <v>4</v>
      </c>
      <c r="B33" s="46">
        <v>2022</v>
      </c>
      <c r="C33" s="47">
        <v>140</v>
      </c>
      <c r="D33" s="47">
        <v>121</v>
      </c>
      <c r="E33" s="47">
        <v>150</v>
      </c>
      <c r="F33" s="47">
        <v>99</v>
      </c>
      <c r="G33" s="47">
        <v>126</v>
      </c>
      <c r="H33" s="47">
        <v>1000</v>
      </c>
      <c r="I33" s="47">
        <v>3335</v>
      </c>
      <c r="J33" s="47">
        <v>3838</v>
      </c>
      <c r="K33" s="47">
        <v>4393</v>
      </c>
      <c r="L33" s="47">
        <v>1626</v>
      </c>
      <c r="M33" s="47">
        <v>258</v>
      </c>
      <c r="N33" s="47">
        <v>180</v>
      </c>
      <c r="O33" s="48">
        <f t="shared" si="0"/>
        <v>15266</v>
      </c>
    </row>
    <row r="34" spans="1:15" x14ac:dyDescent="0.25">
      <c r="A34" s="45" t="s">
        <v>8</v>
      </c>
      <c r="B34" s="46">
        <v>2022</v>
      </c>
      <c r="C34" s="47">
        <v>1903</v>
      </c>
      <c r="D34" s="47">
        <v>1649</v>
      </c>
      <c r="E34" s="47">
        <v>2045</v>
      </c>
      <c r="F34" s="47">
        <v>1354</v>
      </c>
      <c r="G34" s="47">
        <v>1713</v>
      </c>
      <c r="H34" s="47">
        <v>13626</v>
      </c>
      <c r="I34" s="47">
        <v>45452</v>
      </c>
      <c r="J34" s="47">
        <v>52305</v>
      </c>
      <c r="K34" s="47">
        <v>59872</v>
      </c>
      <c r="L34" s="47">
        <v>22159</v>
      </c>
      <c r="M34" s="47">
        <v>3516</v>
      </c>
      <c r="N34" s="47">
        <v>2448</v>
      </c>
      <c r="O34" s="48">
        <f t="shared" si="0"/>
        <v>208042</v>
      </c>
    </row>
    <row r="35" spans="1:15" x14ac:dyDescent="0.25">
      <c r="A35" s="45" t="s">
        <v>3</v>
      </c>
      <c r="B35" s="46">
        <v>2022</v>
      </c>
      <c r="C35" s="47">
        <v>793</v>
      </c>
      <c r="D35" s="47">
        <v>686</v>
      </c>
      <c r="E35" s="47">
        <v>851</v>
      </c>
      <c r="F35" s="47">
        <v>563</v>
      </c>
      <c r="G35" s="47">
        <v>713</v>
      </c>
      <c r="H35" s="47">
        <v>5664</v>
      </c>
      <c r="I35" s="47">
        <v>18888</v>
      </c>
      <c r="J35" s="47">
        <v>21736</v>
      </c>
      <c r="K35" s="47">
        <v>24881</v>
      </c>
      <c r="L35" s="47">
        <v>9213</v>
      </c>
      <c r="M35" s="47">
        <v>1468</v>
      </c>
      <c r="N35" s="47">
        <v>1020</v>
      </c>
      <c r="O35" s="48">
        <f t="shared" si="0"/>
        <v>86476</v>
      </c>
    </row>
    <row r="36" spans="1:15" x14ac:dyDescent="0.25">
      <c r="A36" s="45" t="s">
        <v>2</v>
      </c>
      <c r="B36" s="46">
        <v>2021</v>
      </c>
      <c r="C36" s="47">
        <v>680</v>
      </c>
      <c r="D36" s="47">
        <v>589</v>
      </c>
      <c r="E36" s="47">
        <v>731</v>
      </c>
      <c r="F36" s="47">
        <v>484</v>
      </c>
      <c r="G36" s="49">
        <v>612</v>
      </c>
      <c r="H36" s="49">
        <v>4868</v>
      </c>
      <c r="I36" s="49">
        <v>16239</v>
      </c>
      <c r="J36" s="49">
        <v>18687</v>
      </c>
      <c r="K36" s="49">
        <v>21391</v>
      </c>
      <c r="L36" s="49">
        <v>7917</v>
      </c>
      <c r="M36" s="49">
        <v>1256</v>
      </c>
      <c r="N36" s="47">
        <v>875</v>
      </c>
      <c r="O36" s="48">
        <f t="shared" si="0"/>
        <v>74329</v>
      </c>
    </row>
    <row r="37" spans="1:15" x14ac:dyDescent="0.25">
      <c r="A37" s="45" t="s">
        <v>16</v>
      </c>
      <c r="B37" s="46">
        <v>2021</v>
      </c>
      <c r="C37" s="47">
        <v>142</v>
      </c>
      <c r="D37" s="47">
        <v>123</v>
      </c>
      <c r="E37" s="47">
        <v>153</v>
      </c>
      <c r="F37" s="47">
        <v>101</v>
      </c>
      <c r="G37" s="49">
        <v>128</v>
      </c>
      <c r="H37" s="49">
        <v>1021</v>
      </c>
      <c r="I37" s="49">
        <v>3403</v>
      </c>
      <c r="J37" s="49">
        <v>3920</v>
      </c>
      <c r="K37" s="49">
        <v>4482</v>
      </c>
      <c r="L37" s="49">
        <v>1659</v>
      </c>
      <c r="M37" s="47">
        <v>263</v>
      </c>
      <c r="N37" s="47">
        <v>183</v>
      </c>
      <c r="O37" s="48">
        <f t="shared" si="0"/>
        <v>15578</v>
      </c>
    </row>
    <row r="38" spans="1:15" x14ac:dyDescent="0.25">
      <c r="A38" s="45" t="s">
        <v>42</v>
      </c>
      <c r="B38" s="46">
        <v>2021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3</v>
      </c>
      <c r="I38" s="47">
        <v>9</v>
      </c>
      <c r="J38" s="47">
        <v>10</v>
      </c>
      <c r="K38" s="47">
        <v>11</v>
      </c>
      <c r="L38" s="47">
        <v>4</v>
      </c>
      <c r="M38" s="47">
        <v>1</v>
      </c>
      <c r="N38" s="47">
        <v>0</v>
      </c>
      <c r="O38" s="48">
        <f t="shared" si="0"/>
        <v>38</v>
      </c>
    </row>
    <row r="39" spans="1:15" x14ac:dyDescent="0.25">
      <c r="A39" s="45" t="s">
        <v>13</v>
      </c>
      <c r="B39" s="46">
        <v>2021</v>
      </c>
      <c r="C39" s="47">
        <v>18</v>
      </c>
      <c r="D39" s="47">
        <v>16</v>
      </c>
      <c r="E39" s="47">
        <v>20</v>
      </c>
      <c r="F39" s="47">
        <v>13</v>
      </c>
      <c r="G39" s="47">
        <v>16</v>
      </c>
      <c r="H39" s="47">
        <v>131</v>
      </c>
      <c r="I39" s="47">
        <v>437</v>
      </c>
      <c r="J39" s="47">
        <v>503</v>
      </c>
      <c r="K39" s="47">
        <v>576</v>
      </c>
      <c r="L39" s="47">
        <v>213</v>
      </c>
      <c r="M39" s="47">
        <v>34</v>
      </c>
      <c r="N39" s="47">
        <v>24</v>
      </c>
      <c r="O39" s="48">
        <f t="shared" si="0"/>
        <v>2001</v>
      </c>
    </row>
    <row r="40" spans="1:15" x14ac:dyDescent="0.25">
      <c r="A40" s="45" t="s">
        <v>9</v>
      </c>
      <c r="B40" s="46">
        <v>2021</v>
      </c>
      <c r="C40" s="47">
        <v>579</v>
      </c>
      <c r="D40" s="47">
        <v>506</v>
      </c>
      <c r="E40" s="47">
        <v>635</v>
      </c>
      <c r="F40" s="47">
        <v>474</v>
      </c>
      <c r="G40" s="49">
        <v>612</v>
      </c>
      <c r="H40" s="49">
        <v>4124</v>
      </c>
      <c r="I40" s="49">
        <v>13679</v>
      </c>
      <c r="J40" s="49">
        <v>15744</v>
      </c>
      <c r="K40" s="49">
        <v>18022</v>
      </c>
      <c r="L40" s="49">
        <v>6672</v>
      </c>
      <c r="M40" s="49">
        <v>1062</v>
      </c>
      <c r="N40" s="47">
        <v>741</v>
      </c>
      <c r="O40" s="48">
        <f t="shared" si="0"/>
        <v>62850</v>
      </c>
    </row>
    <row r="41" spans="1:15" x14ac:dyDescent="0.25">
      <c r="A41" s="45" t="s">
        <v>43</v>
      </c>
      <c r="B41" s="46">
        <v>2021</v>
      </c>
      <c r="C41" s="47">
        <v>5</v>
      </c>
      <c r="D41" s="47">
        <v>4</v>
      </c>
      <c r="E41" s="47">
        <v>5</v>
      </c>
      <c r="F41" s="47">
        <v>3</v>
      </c>
      <c r="G41" s="47">
        <v>4</v>
      </c>
      <c r="H41" s="47">
        <v>34</v>
      </c>
      <c r="I41" s="47">
        <v>115</v>
      </c>
      <c r="J41" s="47">
        <v>132</v>
      </c>
      <c r="K41" s="47">
        <v>151</v>
      </c>
      <c r="L41" s="47">
        <v>56</v>
      </c>
      <c r="M41" s="47">
        <v>9</v>
      </c>
      <c r="N41" s="47">
        <v>6</v>
      </c>
      <c r="O41" s="48">
        <f t="shared" si="0"/>
        <v>524</v>
      </c>
    </row>
    <row r="42" spans="1:15" x14ac:dyDescent="0.25">
      <c r="A42" s="45" t="s">
        <v>11</v>
      </c>
      <c r="B42" s="46">
        <v>2021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8">
        <f t="shared" si="0"/>
        <v>0</v>
      </c>
    </row>
    <row r="43" spans="1:15" x14ac:dyDescent="0.25">
      <c r="A43" s="45" t="s">
        <v>25</v>
      </c>
      <c r="B43" s="46">
        <v>2021</v>
      </c>
      <c r="C43" s="47">
        <v>1</v>
      </c>
      <c r="D43" s="47">
        <v>1</v>
      </c>
      <c r="E43" s="47">
        <v>1</v>
      </c>
      <c r="F43" s="47">
        <v>1</v>
      </c>
      <c r="G43" s="47">
        <v>1</v>
      </c>
      <c r="H43" s="47">
        <v>9</v>
      </c>
      <c r="I43" s="47">
        <v>28</v>
      </c>
      <c r="J43" s="47">
        <v>33</v>
      </c>
      <c r="K43" s="47">
        <v>37</v>
      </c>
      <c r="L43" s="47">
        <v>14</v>
      </c>
      <c r="M43" s="47">
        <v>2</v>
      </c>
      <c r="N43" s="47">
        <v>2</v>
      </c>
      <c r="O43" s="48">
        <f t="shared" si="0"/>
        <v>130</v>
      </c>
    </row>
    <row r="44" spans="1:15" x14ac:dyDescent="0.25">
      <c r="A44" s="45" t="s">
        <v>7</v>
      </c>
      <c r="B44" s="46">
        <v>2021</v>
      </c>
      <c r="C44" s="47">
        <v>177</v>
      </c>
      <c r="D44" s="47">
        <v>153</v>
      </c>
      <c r="E44" s="47">
        <v>190</v>
      </c>
      <c r="F44" s="47">
        <v>126</v>
      </c>
      <c r="G44" s="49">
        <v>162</v>
      </c>
      <c r="H44" s="49">
        <v>1262</v>
      </c>
      <c r="I44" s="49">
        <v>4196</v>
      </c>
      <c r="J44" s="49">
        <v>4828</v>
      </c>
      <c r="K44" s="49">
        <v>5527</v>
      </c>
      <c r="L44" s="49">
        <v>2047</v>
      </c>
      <c r="M44" s="47">
        <v>326</v>
      </c>
      <c r="N44" s="47">
        <v>228</v>
      </c>
      <c r="O44" s="48">
        <f t="shared" si="0"/>
        <v>19222</v>
      </c>
    </row>
    <row r="45" spans="1:15" x14ac:dyDescent="0.25">
      <c r="A45" s="45" t="s">
        <v>12</v>
      </c>
      <c r="B45" s="46">
        <v>2021</v>
      </c>
      <c r="C45" s="47">
        <v>222</v>
      </c>
      <c r="D45" s="47">
        <v>193</v>
      </c>
      <c r="E45" s="47">
        <v>240</v>
      </c>
      <c r="F45" s="47">
        <v>159</v>
      </c>
      <c r="G45" s="49">
        <v>201</v>
      </c>
      <c r="H45" s="49">
        <v>1594</v>
      </c>
      <c r="I45" s="49">
        <v>5317</v>
      </c>
      <c r="J45" s="49">
        <v>6117</v>
      </c>
      <c r="K45" s="49">
        <v>7002</v>
      </c>
      <c r="L45" s="49">
        <v>2592</v>
      </c>
      <c r="M45" s="47">
        <v>411</v>
      </c>
      <c r="N45" s="47">
        <v>286</v>
      </c>
      <c r="O45" s="48">
        <f t="shared" si="0"/>
        <v>24334</v>
      </c>
    </row>
    <row r="46" spans="1:15" x14ac:dyDescent="0.25">
      <c r="A46" s="45" t="s">
        <v>14</v>
      </c>
      <c r="B46" s="46">
        <v>2021</v>
      </c>
      <c r="C46" s="47">
        <v>243</v>
      </c>
      <c r="D46" s="47">
        <v>210</v>
      </c>
      <c r="E46" s="47">
        <v>261</v>
      </c>
      <c r="F46" s="47">
        <v>173</v>
      </c>
      <c r="G46" s="49">
        <v>219</v>
      </c>
      <c r="H46" s="49">
        <v>1787</v>
      </c>
      <c r="I46" s="49">
        <v>6034</v>
      </c>
      <c r="J46" s="49">
        <v>6969</v>
      </c>
      <c r="K46" s="49">
        <v>7671</v>
      </c>
      <c r="L46" s="49">
        <v>2852</v>
      </c>
      <c r="M46" s="47">
        <v>500</v>
      </c>
      <c r="N46" s="47">
        <v>313</v>
      </c>
      <c r="O46" s="48">
        <f t="shared" si="0"/>
        <v>27232</v>
      </c>
    </row>
    <row r="47" spans="1:15" x14ac:dyDescent="0.25">
      <c r="A47" s="45" t="s">
        <v>15</v>
      </c>
      <c r="B47" s="46">
        <v>2021</v>
      </c>
      <c r="C47" s="47">
        <v>381</v>
      </c>
      <c r="D47" s="47">
        <v>330</v>
      </c>
      <c r="E47" s="47">
        <v>410</v>
      </c>
      <c r="F47" s="47">
        <v>276</v>
      </c>
      <c r="G47" s="49">
        <v>448</v>
      </c>
      <c r="H47" s="49">
        <v>3501</v>
      </c>
      <c r="I47" s="49">
        <v>10432</v>
      </c>
      <c r="J47" s="49">
        <v>11845</v>
      </c>
      <c r="K47" s="49">
        <v>12471</v>
      </c>
      <c r="L47" s="49">
        <v>4520</v>
      </c>
      <c r="M47" s="47">
        <v>764</v>
      </c>
      <c r="N47" s="47">
        <v>536</v>
      </c>
      <c r="O47" s="48">
        <f t="shared" si="0"/>
        <v>45914</v>
      </c>
    </row>
    <row r="48" spans="1:15" x14ac:dyDescent="0.25">
      <c r="A48" s="45" t="s">
        <v>19</v>
      </c>
      <c r="B48" s="46">
        <v>2021</v>
      </c>
      <c r="C48" s="47">
        <v>29</v>
      </c>
      <c r="D48" s="47">
        <v>25</v>
      </c>
      <c r="E48" s="47">
        <v>31</v>
      </c>
      <c r="F48" s="47">
        <v>20</v>
      </c>
      <c r="G48" s="47">
        <v>26</v>
      </c>
      <c r="H48" s="47">
        <v>206</v>
      </c>
      <c r="I48" s="47">
        <v>686</v>
      </c>
      <c r="J48" s="47">
        <v>789</v>
      </c>
      <c r="K48" s="47">
        <v>903</v>
      </c>
      <c r="L48" s="47">
        <v>334</v>
      </c>
      <c r="M48" s="47">
        <v>53</v>
      </c>
      <c r="N48" s="47">
        <v>37</v>
      </c>
      <c r="O48" s="48">
        <f t="shared" si="0"/>
        <v>3139</v>
      </c>
    </row>
    <row r="49" spans="1:15" x14ac:dyDescent="0.25">
      <c r="A49" s="45" t="s">
        <v>21</v>
      </c>
      <c r="B49" s="46">
        <v>2021</v>
      </c>
      <c r="C49" s="47">
        <v>9</v>
      </c>
      <c r="D49" s="47">
        <v>8</v>
      </c>
      <c r="E49" s="47">
        <v>10</v>
      </c>
      <c r="F49" s="47">
        <v>7</v>
      </c>
      <c r="G49" s="47">
        <v>8</v>
      </c>
      <c r="H49" s="47">
        <v>67</v>
      </c>
      <c r="I49" s="47">
        <v>223</v>
      </c>
      <c r="J49" s="47">
        <v>257</v>
      </c>
      <c r="K49" s="47">
        <v>294</v>
      </c>
      <c r="L49" s="47">
        <v>109</v>
      </c>
      <c r="M49" s="47">
        <v>17</v>
      </c>
      <c r="N49" s="47">
        <v>12</v>
      </c>
      <c r="O49" s="48">
        <f t="shared" si="0"/>
        <v>1021</v>
      </c>
    </row>
    <row r="50" spans="1:15" x14ac:dyDescent="0.25">
      <c r="A50" s="45" t="s">
        <v>20</v>
      </c>
      <c r="B50" s="46">
        <v>2021</v>
      </c>
      <c r="C50" s="47">
        <v>3</v>
      </c>
      <c r="D50" s="47">
        <v>3</v>
      </c>
      <c r="E50" s="47">
        <v>4</v>
      </c>
      <c r="F50" s="47">
        <v>2</v>
      </c>
      <c r="G50" s="47">
        <v>3</v>
      </c>
      <c r="H50" s="47">
        <v>24</v>
      </c>
      <c r="I50" s="47">
        <v>81</v>
      </c>
      <c r="J50" s="47">
        <v>93</v>
      </c>
      <c r="K50" s="47">
        <v>106</v>
      </c>
      <c r="L50" s="47">
        <v>39</v>
      </c>
      <c r="M50" s="47">
        <v>6</v>
      </c>
      <c r="N50" s="47">
        <v>4</v>
      </c>
      <c r="O50" s="48">
        <f t="shared" si="0"/>
        <v>368</v>
      </c>
    </row>
    <row r="51" spans="1:15" x14ac:dyDescent="0.25">
      <c r="A51" s="45" t="s">
        <v>22</v>
      </c>
      <c r="B51" s="46">
        <v>2021</v>
      </c>
      <c r="C51" s="47">
        <v>2</v>
      </c>
      <c r="D51" s="47">
        <v>1</v>
      </c>
      <c r="E51" s="47">
        <v>2</v>
      </c>
      <c r="F51" s="47">
        <v>1</v>
      </c>
      <c r="G51" s="47">
        <v>1</v>
      </c>
      <c r="H51" s="47">
        <v>11</v>
      </c>
      <c r="I51" s="47">
        <v>38</v>
      </c>
      <c r="J51" s="47">
        <v>43</v>
      </c>
      <c r="K51" s="47">
        <v>49</v>
      </c>
      <c r="L51" s="47">
        <v>18</v>
      </c>
      <c r="M51" s="47">
        <v>3</v>
      </c>
      <c r="N51" s="47">
        <v>2</v>
      </c>
      <c r="O51" s="48">
        <f t="shared" si="0"/>
        <v>171</v>
      </c>
    </row>
    <row r="52" spans="1:15" x14ac:dyDescent="0.25">
      <c r="A52" s="45" t="s">
        <v>23</v>
      </c>
      <c r="B52" s="46">
        <v>2021</v>
      </c>
      <c r="C52" s="47">
        <v>1</v>
      </c>
      <c r="D52" s="47">
        <v>1</v>
      </c>
      <c r="E52" s="47">
        <v>1</v>
      </c>
      <c r="F52" s="47">
        <v>1</v>
      </c>
      <c r="G52" s="47">
        <v>1</v>
      </c>
      <c r="H52" s="47">
        <v>8</v>
      </c>
      <c r="I52" s="47">
        <v>26</v>
      </c>
      <c r="J52" s="47">
        <v>29</v>
      </c>
      <c r="K52" s="47">
        <v>34</v>
      </c>
      <c r="L52" s="47">
        <v>12</v>
      </c>
      <c r="M52" s="47">
        <v>2</v>
      </c>
      <c r="N52" s="47">
        <v>1</v>
      </c>
      <c r="O52" s="48">
        <f t="shared" si="0"/>
        <v>117</v>
      </c>
    </row>
    <row r="53" spans="1:15" x14ac:dyDescent="0.25">
      <c r="A53" s="45" t="s">
        <v>6</v>
      </c>
      <c r="B53" s="46">
        <v>2021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</v>
      </c>
      <c r="O53" s="48">
        <f t="shared" si="0"/>
        <v>0</v>
      </c>
    </row>
    <row r="54" spans="1:15" x14ac:dyDescent="0.25">
      <c r="A54" s="45" t="s">
        <v>10</v>
      </c>
      <c r="B54" s="46">
        <v>2021</v>
      </c>
      <c r="C54" s="49">
        <v>1063</v>
      </c>
      <c r="D54" s="49">
        <v>922</v>
      </c>
      <c r="E54" s="49">
        <v>1143</v>
      </c>
      <c r="F54" s="47">
        <v>757</v>
      </c>
      <c r="G54" s="49">
        <v>957</v>
      </c>
      <c r="H54" s="49">
        <v>7616</v>
      </c>
      <c r="I54" s="49">
        <v>25404</v>
      </c>
      <c r="J54" s="49">
        <v>29235</v>
      </c>
      <c r="K54" s="49">
        <v>33464</v>
      </c>
      <c r="L54" s="49">
        <v>12385</v>
      </c>
      <c r="M54" s="49">
        <v>1965</v>
      </c>
      <c r="N54" s="49">
        <v>1368</v>
      </c>
      <c r="O54" s="50">
        <f t="shared" si="0"/>
        <v>116279</v>
      </c>
    </row>
    <row r="55" spans="1:15" x14ac:dyDescent="0.25">
      <c r="A55" s="45" t="s">
        <v>30</v>
      </c>
      <c r="B55" s="46">
        <v>2021</v>
      </c>
      <c r="C55" s="47">
        <v>4</v>
      </c>
      <c r="D55" s="47">
        <v>3</v>
      </c>
      <c r="E55" s="47">
        <v>4</v>
      </c>
      <c r="F55" s="47">
        <v>3</v>
      </c>
      <c r="G55" s="47">
        <v>3</v>
      </c>
      <c r="H55" s="47">
        <v>27</v>
      </c>
      <c r="I55" s="47">
        <v>91</v>
      </c>
      <c r="J55" s="47">
        <v>105</v>
      </c>
      <c r="K55" s="47">
        <v>120</v>
      </c>
      <c r="L55" s="47">
        <v>45</v>
      </c>
      <c r="M55" s="47">
        <v>7</v>
      </c>
      <c r="N55" s="47">
        <v>5</v>
      </c>
      <c r="O55" s="48">
        <f t="shared" si="0"/>
        <v>417</v>
      </c>
    </row>
    <row r="56" spans="1:15" x14ac:dyDescent="0.25">
      <c r="A56" s="45" t="s">
        <v>31</v>
      </c>
      <c r="B56" s="46">
        <v>2021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1</v>
      </c>
      <c r="I56" s="47">
        <v>3</v>
      </c>
      <c r="J56" s="47">
        <v>4</v>
      </c>
      <c r="K56" s="47">
        <v>4</v>
      </c>
      <c r="L56" s="47">
        <v>2</v>
      </c>
      <c r="M56" s="47">
        <v>0</v>
      </c>
      <c r="N56" s="47">
        <v>0</v>
      </c>
      <c r="O56" s="48">
        <f t="shared" si="0"/>
        <v>14</v>
      </c>
    </row>
    <row r="57" spans="1:15" x14ac:dyDescent="0.25">
      <c r="A57" s="45" t="s">
        <v>17</v>
      </c>
      <c r="B57" s="46">
        <v>2021</v>
      </c>
      <c r="C57" s="47">
        <v>58</v>
      </c>
      <c r="D57" s="47">
        <v>50</v>
      </c>
      <c r="E57" s="47">
        <v>62</v>
      </c>
      <c r="F57" s="47">
        <v>41</v>
      </c>
      <c r="G57" s="47">
        <v>52</v>
      </c>
      <c r="H57" s="49">
        <v>414</v>
      </c>
      <c r="I57" s="49">
        <v>1382</v>
      </c>
      <c r="J57" s="49">
        <v>1591</v>
      </c>
      <c r="K57" s="49">
        <v>1821</v>
      </c>
      <c r="L57" s="47">
        <v>674</v>
      </c>
      <c r="M57" s="47">
        <v>107</v>
      </c>
      <c r="N57" s="47">
        <v>74</v>
      </c>
      <c r="O57" s="48">
        <f t="shared" si="0"/>
        <v>6326</v>
      </c>
    </row>
    <row r="58" spans="1:15" x14ac:dyDescent="0.25">
      <c r="A58" s="45" t="s">
        <v>18</v>
      </c>
      <c r="B58" s="46">
        <v>2021</v>
      </c>
      <c r="C58" s="47">
        <v>237</v>
      </c>
      <c r="D58" s="47">
        <v>205</v>
      </c>
      <c r="E58" s="47">
        <v>255</v>
      </c>
      <c r="F58" s="47">
        <v>168</v>
      </c>
      <c r="G58" s="49">
        <v>213</v>
      </c>
      <c r="H58" s="49">
        <v>1694</v>
      </c>
      <c r="I58" s="49">
        <v>5651</v>
      </c>
      <c r="J58" s="49">
        <v>6504</v>
      </c>
      <c r="K58" s="49">
        <v>7446</v>
      </c>
      <c r="L58" s="49">
        <v>2757</v>
      </c>
      <c r="M58" s="47">
        <v>437</v>
      </c>
      <c r="N58" s="47">
        <v>304</v>
      </c>
      <c r="O58" s="48">
        <f t="shared" si="0"/>
        <v>25871</v>
      </c>
    </row>
    <row r="59" spans="1:15" x14ac:dyDescent="0.25">
      <c r="A59" s="45" t="s">
        <v>32</v>
      </c>
      <c r="B59" s="46">
        <v>2021</v>
      </c>
      <c r="C59" s="47">
        <v>26</v>
      </c>
      <c r="D59" s="47">
        <v>22</v>
      </c>
      <c r="E59" s="47">
        <v>28</v>
      </c>
      <c r="F59" s="47">
        <v>18</v>
      </c>
      <c r="G59" s="47">
        <v>23</v>
      </c>
      <c r="H59" s="47">
        <v>183</v>
      </c>
      <c r="I59" s="47">
        <v>612</v>
      </c>
      <c r="J59" s="47">
        <v>704</v>
      </c>
      <c r="K59" s="47">
        <v>806</v>
      </c>
      <c r="L59" s="47">
        <v>298</v>
      </c>
      <c r="M59" s="47">
        <v>47</v>
      </c>
      <c r="N59" s="47">
        <v>33</v>
      </c>
      <c r="O59" s="48">
        <f t="shared" si="0"/>
        <v>2800</v>
      </c>
    </row>
    <row r="60" spans="1:15" x14ac:dyDescent="0.25">
      <c r="A60" s="45" t="s">
        <v>33</v>
      </c>
      <c r="B60" s="46">
        <v>2021</v>
      </c>
      <c r="C60" s="47">
        <v>1</v>
      </c>
      <c r="D60" s="47">
        <v>1</v>
      </c>
      <c r="E60" s="47">
        <v>1</v>
      </c>
      <c r="F60" s="47">
        <v>0</v>
      </c>
      <c r="G60" s="47">
        <v>1</v>
      </c>
      <c r="H60" s="47">
        <v>5</v>
      </c>
      <c r="I60" s="47">
        <v>15</v>
      </c>
      <c r="J60" s="47">
        <v>18</v>
      </c>
      <c r="K60" s="47">
        <v>20</v>
      </c>
      <c r="L60" s="47">
        <v>7</v>
      </c>
      <c r="M60" s="47">
        <v>1</v>
      </c>
      <c r="N60" s="47">
        <v>1</v>
      </c>
      <c r="O60" s="48">
        <f t="shared" si="0"/>
        <v>71</v>
      </c>
    </row>
    <row r="61" spans="1:15" x14ac:dyDescent="0.25">
      <c r="A61" s="45" t="s">
        <v>5</v>
      </c>
      <c r="B61" s="46">
        <v>2021</v>
      </c>
      <c r="C61" s="47">
        <v>22</v>
      </c>
      <c r="D61" s="47">
        <v>19</v>
      </c>
      <c r="E61" s="47">
        <v>24</v>
      </c>
      <c r="F61" s="47">
        <v>16</v>
      </c>
      <c r="G61" s="47">
        <v>20</v>
      </c>
      <c r="H61" s="47">
        <v>158</v>
      </c>
      <c r="I61" s="47">
        <v>528</v>
      </c>
      <c r="J61" s="47">
        <v>608</v>
      </c>
      <c r="K61" s="47">
        <v>696</v>
      </c>
      <c r="L61" s="47">
        <v>257</v>
      </c>
      <c r="M61" s="47">
        <v>41</v>
      </c>
      <c r="N61" s="47">
        <v>28</v>
      </c>
      <c r="O61" s="48">
        <f t="shared" si="0"/>
        <v>2417</v>
      </c>
    </row>
    <row r="62" spans="1:15" x14ac:dyDescent="0.25">
      <c r="A62" s="45" t="s">
        <v>28</v>
      </c>
      <c r="B62" s="46">
        <v>2021</v>
      </c>
      <c r="C62" s="47">
        <v>43</v>
      </c>
      <c r="D62" s="47">
        <v>37</v>
      </c>
      <c r="E62" s="47">
        <v>46</v>
      </c>
      <c r="F62" s="47">
        <v>30</v>
      </c>
      <c r="G62" s="47">
        <v>38</v>
      </c>
      <c r="H62" s="49">
        <v>306</v>
      </c>
      <c r="I62" s="49">
        <v>1021</v>
      </c>
      <c r="J62" s="49">
        <v>1175</v>
      </c>
      <c r="K62" s="49">
        <v>1345</v>
      </c>
      <c r="L62" s="47">
        <v>498</v>
      </c>
      <c r="M62" s="47">
        <v>79</v>
      </c>
      <c r="N62" s="47">
        <v>55</v>
      </c>
      <c r="O62" s="48">
        <f t="shared" si="0"/>
        <v>4673</v>
      </c>
    </row>
    <row r="63" spans="1:15" x14ac:dyDescent="0.25">
      <c r="A63" s="45" t="s">
        <v>27</v>
      </c>
      <c r="B63" s="46">
        <v>2021</v>
      </c>
      <c r="C63" s="47">
        <v>312</v>
      </c>
      <c r="D63" s="47">
        <v>271</v>
      </c>
      <c r="E63" s="47">
        <v>336</v>
      </c>
      <c r="F63" s="47">
        <v>223</v>
      </c>
      <c r="G63" s="49">
        <v>291</v>
      </c>
      <c r="H63" s="49">
        <v>2252</v>
      </c>
      <c r="I63" s="49">
        <v>7486</v>
      </c>
      <c r="J63" s="49">
        <v>8615</v>
      </c>
      <c r="K63" s="49">
        <v>9835</v>
      </c>
      <c r="L63" s="49">
        <v>3638</v>
      </c>
      <c r="M63" s="47">
        <v>580</v>
      </c>
      <c r="N63" s="47">
        <v>404</v>
      </c>
      <c r="O63" s="48">
        <f t="shared" si="0"/>
        <v>34243</v>
      </c>
    </row>
    <row r="64" spans="1:15" x14ac:dyDescent="0.25">
      <c r="A64" s="45" t="s">
        <v>26</v>
      </c>
      <c r="B64" s="46">
        <v>2021</v>
      </c>
      <c r="C64" s="47">
        <v>27</v>
      </c>
      <c r="D64" s="47">
        <v>24</v>
      </c>
      <c r="E64" s="47">
        <v>29</v>
      </c>
      <c r="F64" s="47">
        <v>19</v>
      </c>
      <c r="G64" s="47">
        <v>25</v>
      </c>
      <c r="H64" s="47">
        <v>196</v>
      </c>
      <c r="I64" s="47">
        <v>654</v>
      </c>
      <c r="J64" s="47">
        <v>752</v>
      </c>
      <c r="K64" s="47">
        <v>861</v>
      </c>
      <c r="L64" s="47">
        <v>319</v>
      </c>
      <c r="M64" s="47">
        <v>51</v>
      </c>
      <c r="N64" s="47">
        <v>35</v>
      </c>
      <c r="O64" s="48">
        <f t="shared" si="0"/>
        <v>2992</v>
      </c>
    </row>
    <row r="65" spans="1:15" x14ac:dyDescent="0.25">
      <c r="A65" s="45" t="s">
        <v>29</v>
      </c>
      <c r="B65" s="46">
        <v>2021</v>
      </c>
      <c r="C65" s="47">
        <v>25</v>
      </c>
      <c r="D65" s="47">
        <v>22</v>
      </c>
      <c r="E65" s="47">
        <v>27</v>
      </c>
      <c r="F65" s="47">
        <v>18</v>
      </c>
      <c r="G65" s="47">
        <v>23</v>
      </c>
      <c r="H65" s="47">
        <v>182</v>
      </c>
      <c r="I65" s="47">
        <v>606</v>
      </c>
      <c r="J65" s="47">
        <v>698</v>
      </c>
      <c r="K65" s="47">
        <v>799</v>
      </c>
      <c r="L65" s="47">
        <v>296</v>
      </c>
      <c r="M65" s="47">
        <v>47</v>
      </c>
      <c r="N65" s="47">
        <v>33</v>
      </c>
      <c r="O65" s="48">
        <f t="shared" si="0"/>
        <v>2776</v>
      </c>
    </row>
    <row r="66" spans="1:15" x14ac:dyDescent="0.25">
      <c r="A66" s="45" t="s">
        <v>24</v>
      </c>
      <c r="B66" s="46">
        <v>2021</v>
      </c>
      <c r="C66" s="47">
        <v>34</v>
      </c>
      <c r="D66" s="47">
        <v>30</v>
      </c>
      <c r="E66" s="47">
        <v>37</v>
      </c>
      <c r="F66" s="47">
        <v>24</v>
      </c>
      <c r="G66" s="47">
        <v>31</v>
      </c>
      <c r="H66" s="47">
        <v>244</v>
      </c>
      <c r="I66" s="47">
        <v>815</v>
      </c>
      <c r="J66" s="47">
        <v>938</v>
      </c>
      <c r="K66" s="49">
        <v>1074</v>
      </c>
      <c r="L66" s="47">
        <v>397</v>
      </c>
      <c r="M66" s="47">
        <v>63</v>
      </c>
      <c r="N66" s="47">
        <v>44</v>
      </c>
      <c r="O66" s="48">
        <f t="shared" si="0"/>
        <v>3731</v>
      </c>
    </row>
    <row r="67" spans="1:15" x14ac:dyDescent="0.25">
      <c r="A67" s="45" t="s">
        <v>4</v>
      </c>
      <c r="B67" s="46">
        <v>2021</v>
      </c>
      <c r="C67" s="47">
        <v>129</v>
      </c>
      <c r="D67" s="47">
        <v>111</v>
      </c>
      <c r="E67" s="47">
        <v>138</v>
      </c>
      <c r="F67" s="47">
        <v>91</v>
      </c>
      <c r="G67" s="47">
        <v>116</v>
      </c>
      <c r="H67" s="49">
        <v>920</v>
      </c>
      <c r="I67" s="49">
        <v>3070</v>
      </c>
      <c r="J67" s="49">
        <v>3533</v>
      </c>
      <c r="K67" s="49">
        <v>4045</v>
      </c>
      <c r="L67" s="49">
        <v>1497</v>
      </c>
      <c r="M67" s="47">
        <v>237</v>
      </c>
      <c r="N67" s="47">
        <v>165</v>
      </c>
      <c r="O67" s="48">
        <f t="shared" si="0"/>
        <v>14052</v>
      </c>
    </row>
    <row r="68" spans="1:15" x14ac:dyDescent="0.25">
      <c r="A68" s="45" t="s">
        <v>8</v>
      </c>
      <c r="B68" s="46">
        <v>2021</v>
      </c>
      <c r="C68" s="49">
        <v>1936</v>
      </c>
      <c r="D68" s="49">
        <v>1678</v>
      </c>
      <c r="E68" s="49">
        <v>2081</v>
      </c>
      <c r="F68" s="49">
        <v>1378</v>
      </c>
      <c r="G68" s="49">
        <v>1743</v>
      </c>
      <c r="H68" s="49">
        <v>13865</v>
      </c>
      <c r="I68" s="49">
        <v>46247</v>
      </c>
      <c r="J68" s="49">
        <v>53220</v>
      </c>
      <c r="K68" s="49">
        <v>60919</v>
      </c>
      <c r="L68" s="49">
        <v>22547</v>
      </c>
      <c r="M68" s="49">
        <v>3577</v>
      </c>
      <c r="N68" s="49">
        <v>2491</v>
      </c>
      <c r="O68" s="50">
        <f t="shared" si="0"/>
        <v>211682</v>
      </c>
    </row>
    <row r="69" spans="1:15" x14ac:dyDescent="0.25">
      <c r="A69" s="45" t="s">
        <v>3</v>
      </c>
      <c r="B69" s="46">
        <v>2021</v>
      </c>
      <c r="C69" s="47">
        <v>740</v>
      </c>
      <c r="D69" s="47">
        <v>641</v>
      </c>
      <c r="E69" s="47">
        <v>795</v>
      </c>
      <c r="F69" s="47">
        <v>526</v>
      </c>
      <c r="G69" s="49">
        <v>666</v>
      </c>
      <c r="H69" s="49">
        <v>5297</v>
      </c>
      <c r="I69" s="49">
        <v>17668</v>
      </c>
      <c r="J69" s="49">
        <v>20332</v>
      </c>
      <c r="K69" s="49">
        <v>23274</v>
      </c>
      <c r="L69" s="49">
        <v>8614</v>
      </c>
      <c r="M69" s="49">
        <v>1367</v>
      </c>
      <c r="N69" s="47">
        <v>952</v>
      </c>
      <c r="O69" s="48">
        <f t="shared" si="0"/>
        <v>80872</v>
      </c>
    </row>
    <row r="70" spans="1:15" x14ac:dyDescent="0.25">
      <c r="A70" s="45" t="s">
        <v>2</v>
      </c>
      <c r="B70" s="46">
        <v>2020</v>
      </c>
      <c r="C70" s="47">
        <v>671</v>
      </c>
      <c r="D70" s="47">
        <v>582</v>
      </c>
      <c r="E70" s="47">
        <v>722</v>
      </c>
      <c r="F70" s="47">
        <v>478</v>
      </c>
      <c r="G70" s="47">
        <v>604</v>
      </c>
      <c r="H70" s="49">
        <v>4809</v>
      </c>
      <c r="I70" s="49">
        <v>16040</v>
      </c>
      <c r="J70" s="49">
        <v>18459</v>
      </c>
      <c r="K70" s="49">
        <v>21129</v>
      </c>
      <c r="L70" s="49">
        <v>7820</v>
      </c>
      <c r="M70" s="49">
        <v>1241</v>
      </c>
      <c r="N70" s="47">
        <v>864</v>
      </c>
      <c r="O70" s="48">
        <f t="shared" si="0"/>
        <v>73419</v>
      </c>
    </row>
    <row r="71" spans="1:15" x14ac:dyDescent="0.25">
      <c r="A71" s="45" t="s">
        <v>16</v>
      </c>
      <c r="B71" s="46">
        <v>2020</v>
      </c>
      <c r="C71" s="47">
        <v>144</v>
      </c>
      <c r="D71" s="47">
        <v>125</v>
      </c>
      <c r="E71" s="47">
        <v>155</v>
      </c>
      <c r="F71" s="47">
        <v>102</v>
      </c>
      <c r="G71" s="47">
        <v>130</v>
      </c>
      <c r="H71" s="49">
        <v>1031</v>
      </c>
      <c r="I71" s="49">
        <v>3438</v>
      </c>
      <c r="J71" s="49">
        <v>3959</v>
      </c>
      <c r="K71" s="49">
        <v>4529</v>
      </c>
      <c r="L71" s="49">
        <v>1676</v>
      </c>
      <c r="M71" s="47">
        <v>266</v>
      </c>
      <c r="N71" s="47">
        <v>185</v>
      </c>
      <c r="O71" s="48">
        <f t="shared" si="0"/>
        <v>15740</v>
      </c>
    </row>
    <row r="72" spans="1:15" x14ac:dyDescent="0.25">
      <c r="A72" s="45" t="s">
        <v>42</v>
      </c>
      <c r="B72" s="46">
        <v>2020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1</v>
      </c>
      <c r="I72" s="47">
        <v>5</v>
      </c>
      <c r="J72" s="47">
        <v>5</v>
      </c>
      <c r="K72" s="47">
        <v>6</v>
      </c>
      <c r="L72" s="47">
        <v>2</v>
      </c>
      <c r="M72" s="47">
        <v>0</v>
      </c>
      <c r="N72" s="47">
        <v>0</v>
      </c>
      <c r="O72" s="48">
        <f t="shared" si="0"/>
        <v>19</v>
      </c>
    </row>
    <row r="73" spans="1:15" x14ac:dyDescent="0.25">
      <c r="A73" s="45" t="s">
        <v>13</v>
      </c>
      <c r="B73" s="46">
        <v>2020</v>
      </c>
      <c r="C73" s="47">
        <v>18</v>
      </c>
      <c r="D73" s="47">
        <v>16</v>
      </c>
      <c r="E73" s="47">
        <v>19</v>
      </c>
      <c r="F73" s="47">
        <v>13</v>
      </c>
      <c r="G73" s="47">
        <v>16</v>
      </c>
      <c r="H73" s="47">
        <v>130</v>
      </c>
      <c r="I73" s="47">
        <v>432</v>
      </c>
      <c r="J73" s="47">
        <v>497</v>
      </c>
      <c r="K73" s="47">
        <v>569</v>
      </c>
      <c r="L73" s="47">
        <v>211</v>
      </c>
      <c r="M73" s="47">
        <v>33</v>
      </c>
      <c r="N73" s="47">
        <v>23</v>
      </c>
      <c r="O73" s="48">
        <f t="shared" si="0"/>
        <v>1977</v>
      </c>
    </row>
    <row r="74" spans="1:15" x14ac:dyDescent="0.25">
      <c r="A74" s="45" t="s">
        <v>9</v>
      </c>
      <c r="B74" s="46">
        <v>2020</v>
      </c>
      <c r="C74" s="47">
        <v>574</v>
      </c>
      <c r="D74" s="47">
        <v>500</v>
      </c>
      <c r="E74" s="47">
        <v>626</v>
      </c>
      <c r="F74" s="47">
        <v>432</v>
      </c>
      <c r="G74" s="47">
        <v>544</v>
      </c>
      <c r="H74" s="49">
        <v>4109</v>
      </c>
      <c r="I74" s="49">
        <v>13596</v>
      </c>
      <c r="J74" s="49">
        <v>15615</v>
      </c>
      <c r="K74" s="49">
        <v>17870</v>
      </c>
      <c r="L74" s="49">
        <v>6625</v>
      </c>
      <c r="M74" s="49">
        <v>1056</v>
      </c>
      <c r="N74" s="47">
        <v>734</v>
      </c>
      <c r="O74" s="48">
        <f t="shared" si="0"/>
        <v>62281</v>
      </c>
    </row>
    <row r="75" spans="1:15" x14ac:dyDescent="0.25">
      <c r="A75" s="45" t="s">
        <v>43</v>
      </c>
      <c r="B75" s="46">
        <v>2020</v>
      </c>
      <c r="C75" s="47">
        <v>5</v>
      </c>
      <c r="D75" s="47">
        <v>4</v>
      </c>
      <c r="E75" s="47">
        <v>5</v>
      </c>
      <c r="F75" s="47">
        <v>3</v>
      </c>
      <c r="G75" s="47">
        <v>4</v>
      </c>
      <c r="H75" s="47">
        <v>34</v>
      </c>
      <c r="I75" s="47">
        <v>112</v>
      </c>
      <c r="J75" s="47">
        <v>129</v>
      </c>
      <c r="K75" s="47">
        <v>148</v>
      </c>
      <c r="L75" s="47">
        <v>55</v>
      </c>
      <c r="M75" s="47">
        <v>9</v>
      </c>
      <c r="N75" s="47">
        <v>6</v>
      </c>
      <c r="O75" s="48">
        <f t="shared" si="0"/>
        <v>514</v>
      </c>
    </row>
    <row r="76" spans="1:15" x14ac:dyDescent="0.25">
      <c r="A76" s="45" t="s">
        <v>11</v>
      </c>
      <c r="B76" s="46">
        <v>2020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8">
        <f t="shared" si="0"/>
        <v>0</v>
      </c>
    </row>
    <row r="77" spans="1:15" x14ac:dyDescent="0.25">
      <c r="A77" s="45" t="s">
        <v>25</v>
      </c>
      <c r="B77" s="46">
        <v>2020</v>
      </c>
      <c r="C77" s="47">
        <v>1</v>
      </c>
      <c r="D77" s="47">
        <v>1</v>
      </c>
      <c r="E77" s="47">
        <v>1</v>
      </c>
      <c r="F77" s="47">
        <v>1</v>
      </c>
      <c r="G77" s="47">
        <v>1</v>
      </c>
      <c r="H77" s="47">
        <v>9</v>
      </c>
      <c r="I77" s="47">
        <v>31</v>
      </c>
      <c r="J77" s="47">
        <v>36</v>
      </c>
      <c r="K77" s="47">
        <v>41</v>
      </c>
      <c r="L77" s="47">
        <v>15</v>
      </c>
      <c r="M77" s="47">
        <v>2</v>
      </c>
      <c r="N77" s="47">
        <v>2</v>
      </c>
      <c r="O77" s="48">
        <f t="shared" si="0"/>
        <v>141</v>
      </c>
    </row>
    <row r="78" spans="1:15" x14ac:dyDescent="0.25">
      <c r="A78" s="45" t="s">
        <v>7</v>
      </c>
      <c r="B78" s="46">
        <v>2020</v>
      </c>
      <c r="C78" s="47">
        <v>171</v>
      </c>
      <c r="D78" s="47">
        <v>149</v>
      </c>
      <c r="E78" s="47">
        <v>184</v>
      </c>
      <c r="F78" s="47">
        <v>122</v>
      </c>
      <c r="G78" s="47">
        <v>156</v>
      </c>
      <c r="H78" s="49">
        <v>1225</v>
      </c>
      <c r="I78" s="49">
        <v>4066</v>
      </c>
      <c r="J78" s="49">
        <v>4675</v>
      </c>
      <c r="K78" s="49">
        <v>5348</v>
      </c>
      <c r="L78" s="49">
        <v>1982</v>
      </c>
      <c r="M78" s="47">
        <v>315</v>
      </c>
      <c r="N78" s="47">
        <v>220</v>
      </c>
      <c r="O78" s="48">
        <f t="shared" si="0"/>
        <v>18613</v>
      </c>
    </row>
    <row r="79" spans="1:15" x14ac:dyDescent="0.25">
      <c r="A79" s="45" t="s">
        <v>12</v>
      </c>
      <c r="B79" s="46">
        <v>2020</v>
      </c>
      <c r="C79" s="47">
        <v>210</v>
      </c>
      <c r="D79" s="47">
        <v>182</v>
      </c>
      <c r="E79" s="47">
        <v>225</v>
      </c>
      <c r="F79" s="47">
        <v>149</v>
      </c>
      <c r="G79" s="47">
        <v>189</v>
      </c>
      <c r="H79" s="49">
        <v>1518</v>
      </c>
      <c r="I79" s="49">
        <v>5017</v>
      </c>
      <c r="J79" s="49">
        <v>5792</v>
      </c>
      <c r="K79" s="49">
        <v>6596</v>
      </c>
      <c r="L79" s="49">
        <v>2445</v>
      </c>
      <c r="M79" s="47">
        <v>387</v>
      </c>
      <c r="N79" s="47">
        <v>270</v>
      </c>
      <c r="O79" s="48">
        <f t="shared" si="0"/>
        <v>22980</v>
      </c>
    </row>
    <row r="80" spans="1:15" x14ac:dyDescent="0.25">
      <c r="A80" s="45" t="s">
        <v>14</v>
      </c>
      <c r="B80" s="46">
        <v>2020</v>
      </c>
      <c r="C80" s="47">
        <v>238</v>
      </c>
      <c r="D80" s="47">
        <v>206</v>
      </c>
      <c r="E80" s="47">
        <v>256</v>
      </c>
      <c r="F80" s="47">
        <v>169</v>
      </c>
      <c r="G80" s="47">
        <v>214</v>
      </c>
      <c r="H80" s="49">
        <v>1703</v>
      </c>
      <c r="I80" s="49">
        <v>5699</v>
      </c>
      <c r="J80" s="49">
        <v>6606</v>
      </c>
      <c r="K80" s="49">
        <v>7545</v>
      </c>
      <c r="L80" s="49">
        <v>2784</v>
      </c>
      <c r="M80" s="47">
        <v>453</v>
      </c>
      <c r="N80" s="47">
        <v>306</v>
      </c>
      <c r="O80" s="48">
        <f t="shared" si="0"/>
        <v>26179</v>
      </c>
    </row>
    <row r="81" spans="1:15" x14ac:dyDescent="0.25">
      <c r="A81" s="45" t="s">
        <v>15</v>
      </c>
      <c r="B81" s="46">
        <v>2020</v>
      </c>
      <c r="C81" s="47">
        <v>413</v>
      </c>
      <c r="D81" s="47">
        <v>355</v>
      </c>
      <c r="E81" s="47">
        <v>435</v>
      </c>
      <c r="F81" s="47">
        <v>270</v>
      </c>
      <c r="G81" s="47">
        <v>338</v>
      </c>
      <c r="H81" s="49">
        <v>2918</v>
      </c>
      <c r="I81" s="49">
        <v>9897</v>
      </c>
      <c r="J81" s="49">
        <v>11348</v>
      </c>
      <c r="K81" s="49">
        <v>13142</v>
      </c>
      <c r="L81" s="49">
        <v>4870</v>
      </c>
      <c r="M81" s="47">
        <v>756</v>
      </c>
      <c r="N81" s="47">
        <v>536</v>
      </c>
      <c r="O81" s="48">
        <f t="shared" si="0"/>
        <v>45278</v>
      </c>
    </row>
    <row r="82" spans="1:15" x14ac:dyDescent="0.25">
      <c r="A82" s="45" t="s">
        <v>19</v>
      </c>
      <c r="B82" s="46">
        <v>2020</v>
      </c>
      <c r="C82" s="47">
        <v>34</v>
      </c>
      <c r="D82" s="47">
        <v>29</v>
      </c>
      <c r="E82" s="47">
        <v>36</v>
      </c>
      <c r="F82" s="47">
        <v>24</v>
      </c>
      <c r="G82" s="47">
        <v>30</v>
      </c>
      <c r="H82" s="47">
        <v>242</v>
      </c>
      <c r="I82" s="47">
        <v>808</v>
      </c>
      <c r="J82" s="47">
        <v>930</v>
      </c>
      <c r="K82" s="49">
        <v>1065</v>
      </c>
      <c r="L82" s="47">
        <v>394</v>
      </c>
      <c r="M82" s="47">
        <v>63</v>
      </c>
      <c r="N82" s="47">
        <v>44</v>
      </c>
      <c r="O82" s="48">
        <f t="shared" si="0"/>
        <v>3699</v>
      </c>
    </row>
    <row r="83" spans="1:15" x14ac:dyDescent="0.25">
      <c r="A83" s="45" t="s">
        <v>21</v>
      </c>
      <c r="B83" s="46">
        <v>2020</v>
      </c>
      <c r="C83" s="47">
        <v>11</v>
      </c>
      <c r="D83" s="47">
        <v>10</v>
      </c>
      <c r="E83" s="47">
        <v>12</v>
      </c>
      <c r="F83" s="47">
        <v>8</v>
      </c>
      <c r="G83" s="47">
        <v>10</v>
      </c>
      <c r="H83" s="47">
        <v>79</v>
      </c>
      <c r="I83" s="47">
        <v>263</v>
      </c>
      <c r="J83" s="47">
        <v>303</v>
      </c>
      <c r="K83" s="47">
        <v>346</v>
      </c>
      <c r="L83" s="47">
        <v>128</v>
      </c>
      <c r="M83" s="47">
        <v>20</v>
      </c>
      <c r="N83" s="47">
        <v>14</v>
      </c>
      <c r="O83" s="48">
        <f t="shared" si="0"/>
        <v>1204</v>
      </c>
    </row>
    <row r="84" spans="1:15" x14ac:dyDescent="0.25">
      <c r="A84" s="45" t="s">
        <v>20</v>
      </c>
      <c r="B84" s="46">
        <v>2020</v>
      </c>
      <c r="C84" s="47">
        <v>4</v>
      </c>
      <c r="D84" s="47">
        <v>3</v>
      </c>
      <c r="E84" s="47">
        <v>4</v>
      </c>
      <c r="F84" s="47">
        <v>3</v>
      </c>
      <c r="G84" s="47">
        <v>3</v>
      </c>
      <c r="H84" s="47">
        <v>27</v>
      </c>
      <c r="I84" s="47">
        <v>88</v>
      </c>
      <c r="J84" s="47">
        <v>102</v>
      </c>
      <c r="K84" s="47">
        <v>116</v>
      </c>
      <c r="L84" s="47">
        <v>43</v>
      </c>
      <c r="M84" s="47">
        <v>7</v>
      </c>
      <c r="N84" s="47">
        <v>5</v>
      </c>
      <c r="O84" s="48">
        <f t="shared" si="0"/>
        <v>405</v>
      </c>
    </row>
    <row r="85" spans="1:15" x14ac:dyDescent="0.25">
      <c r="A85" s="45" t="s">
        <v>22</v>
      </c>
      <c r="B85" s="46">
        <v>2020</v>
      </c>
      <c r="C85" s="47">
        <v>2</v>
      </c>
      <c r="D85" s="47">
        <v>2</v>
      </c>
      <c r="E85" s="47">
        <v>2</v>
      </c>
      <c r="F85" s="47">
        <v>1</v>
      </c>
      <c r="G85" s="47">
        <v>2</v>
      </c>
      <c r="H85" s="47">
        <v>14</v>
      </c>
      <c r="I85" s="47">
        <v>46</v>
      </c>
      <c r="J85" s="47">
        <v>53</v>
      </c>
      <c r="K85" s="47">
        <v>61</v>
      </c>
      <c r="L85" s="47">
        <v>22</v>
      </c>
      <c r="M85" s="47">
        <v>4</v>
      </c>
      <c r="N85" s="47">
        <v>2</v>
      </c>
      <c r="O85" s="48">
        <f t="shared" si="0"/>
        <v>211</v>
      </c>
    </row>
    <row r="86" spans="1:15" x14ac:dyDescent="0.25">
      <c r="A86" s="45" t="s">
        <v>23</v>
      </c>
      <c r="B86" s="46">
        <v>2020</v>
      </c>
      <c r="C86" s="47">
        <v>1</v>
      </c>
      <c r="D86" s="47">
        <v>1</v>
      </c>
      <c r="E86" s="47">
        <v>1</v>
      </c>
      <c r="F86" s="47">
        <v>0</v>
      </c>
      <c r="G86" s="47">
        <v>1</v>
      </c>
      <c r="H86" s="47">
        <v>4</v>
      </c>
      <c r="I86" s="47">
        <v>14</v>
      </c>
      <c r="J86" s="47">
        <v>16</v>
      </c>
      <c r="K86" s="47">
        <v>18</v>
      </c>
      <c r="L86" s="47">
        <v>7</v>
      </c>
      <c r="M86" s="47">
        <v>1</v>
      </c>
      <c r="N86" s="47">
        <v>1</v>
      </c>
      <c r="O86" s="48">
        <f t="shared" si="0"/>
        <v>65</v>
      </c>
    </row>
    <row r="87" spans="1:15" x14ac:dyDescent="0.25">
      <c r="A87" s="45" t="s">
        <v>6</v>
      </c>
      <c r="B87" s="46">
        <v>2020</v>
      </c>
      <c r="C87" s="47">
        <v>0</v>
      </c>
      <c r="D87" s="47">
        <v>0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v>0</v>
      </c>
      <c r="O87" s="48">
        <f t="shared" si="0"/>
        <v>0</v>
      </c>
    </row>
    <row r="88" spans="1:15" x14ac:dyDescent="0.25">
      <c r="A88" s="45" t="s">
        <v>10</v>
      </c>
      <c r="B88" s="46">
        <v>2020</v>
      </c>
      <c r="C88" s="49">
        <v>1073</v>
      </c>
      <c r="D88" s="47">
        <v>930</v>
      </c>
      <c r="E88" s="49">
        <v>1153</v>
      </c>
      <c r="F88" s="47">
        <v>764</v>
      </c>
      <c r="G88" s="47">
        <v>966</v>
      </c>
      <c r="H88" s="49">
        <v>7684</v>
      </c>
      <c r="I88" s="49">
        <v>25629</v>
      </c>
      <c r="J88" s="49">
        <v>29494</v>
      </c>
      <c r="K88" s="49">
        <v>33761</v>
      </c>
      <c r="L88" s="49">
        <v>12495</v>
      </c>
      <c r="M88" s="49">
        <v>1982</v>
      </c>
      <c r="N88" s="49">
        <v>1380</v>
      </c>
      <c r="O88" s="50">
        <f t="shared" si="0"/>
        <v>117311</v>
      </c>
    </row>
    <row r="89" spans="1:15" x14ac:dyDescent="0.25">
      <c r="A89" s="45" t="s">
        <v>30</v>
      </c>
      <c r="B89" s="46">
        <v>2020</v>
      </c>
      <c r="C89" s="47">
        <v>4</v>
      </c>
      <c r="D89" s="47">
        <v>3</v>
      </c>
      <c r="E89" s="47">
        <v>4</v>
      </c>
      <c r="F89" s="47">
        <v>3</v>
      </c>
      <c r="G89" s="47">
        <v>4</v>
      </c>
      <c r="H89" s="47">
        <v>29</v>
      </c>
      <c r="I89" s="47">
        <v>96</v>
      </c>
      <c r="J89" s="47">
        <v>111</v>
      </c>
      <c r="K89" s="47">
        <v>127</v>
      </c>
      <c r="L89" s="47">
        <v>47</v>
      </c>
      <c r="M89" s="47">
        <v>7</v>
      </c>
      <c r="N89" s="47">
        <v>5</v>
      </c>
      <c r="O89" s="48">
        <f t="shared" si="0"/>
        <v>440</v>
      </c>
    </row>
    <row r="90" spans="1:15" x14ac:dyDescent="0.25">
      <c r="A90" s="45" t="s">
        <v>31</v>
      </c>
      <c r="B90" s="46">
        <v>2020</v>
      </c>
      <c r="C90" s="47">
        <v>0</v>
      </c>
      <c r="D90" s="47">
        <v>0</v>
      </c>
      <c r="E90" s="47">
        <v>0</v>
      </c>
      <c r="F90" s="47">
        <v>0</v>
      </c>
      <c r="G90" s="47">
        <v>0</v>
      </c>
      <c r="H90" s="47">
        <v>1</v>
      </c>
      <c r="I90" s="47">
        <v>3</v>
      </c>
      <c r="J90" s="47">
        <v>4</v>
      </c>
      <c r="K90" s="47">
        <v>4</v>
      </c>
      <c r="L90" s="47">
        <v>1</v>
      </c>
      <c r="M90" s="47">
        <v>0</v>
      </c>
      <c r="N90" s="47">
        <v>0</v>
      </c>
      <c r="O90" s="48">
        <f t="shared" si="0"/>
        <v>13</v>
      </c>
    </row>
    <row r="91" spans="1:15" x14ac:dyDescent="0.25">
      <c r="A91" s="45" t="s">
        <v>17</v>
      </c>
      <c r="B91" s="46">
        <v>2020</v>
      </c>
      <c r="C91" s="47">
        <v>51</v>
      </c>
      <c r="D91" s="47">
        <v>45</v>
      </c>
      <c r="E91" s="47">
        <v>55</v>
      </c>
      <c r="F91" s="47">
        <v>37</v>
      </c>
      <c r="G91" s="47">
        <v>46</v>
      </c>
      <c r="H91" s="47">
        <v>368</v>
      </c>
      <c r="I91" s="49">
        <v>1227</v>
      </c>
      <c r="J91" s="49">
        <v>1412</v>
      </c>
      <c r="K91" s="49">
        <v>1625</v>
      </c>
      <c r="L91" s="47">
        <v>598</v>
      </c>
      <c r="M91" s="47">
        <v>95</v>
      </c>
      <c r="N91" s="47">
        <v>66</v>
      </c>
      <c r="O91" s="48">
        <f t="shared" si="0"/>
        <v>5625</v>
      </c>
    </row>
    <row r="92" spans="1:15" x14ac:dyDescent="0.25">
      <c r="A92" s="45" t="s">
        <v>18</v>
      </c>
      <c r="B92" s="46">
        <v>2020</v>
      </c>
      <c r="C92" s="47">
        <v>219</v>
      </c>
      <c r="D92" s="47">
        <v>190</v>
      </c>
      <c r="E92" s="47">
        <v>236</v>
      </c>
      <c r="F92" s="47">
        <v>156</v>
      </c>
      <c r="G92" s="47">
        <v>197</v>
      </c>
      <c r="H92" s="49">
        <v>1567</v>
      </c>
      <c r="I92" s="49">
        <v>5227</v>
      </c>
      <c r="J92" s="49">
        <v>6017</v>
      </c>
      <c r="K92" s="49">
        <v>6885</v>
      </c>
      <c r="L92" s="49">
        <v>2548</v>
      </c>
      <c r="M92" s="47">
        <v>404</v>
      </c>
      <c r="N92" s="47">
        <v>283</v>
      </c>
      <c r="O92" s="48">
        <f t="shared" si="0"/>
        <v>23929</v>
      </c>
    </row>
    <row r="93" spans="1:15" x14ac:dyDescent="0.25">
      <c r="A93" s="45" t="s">
        <v>32</v>
      </c>
      <c r="B93" s="46">
        <v>2020</v>
      </c>
      <c r="C93" s="47">
        <v>24</v>
      </c>
      <c r="D93" s="47">
        <v>21</v>
      </c>
      <c r="E93" s="47">
        <v>26</v>
      </c>
      <c r="F93" s="47">
        <v>17</v>
      </c>
      <c r="G93" s="47">
        <v>22</v>
      </c>
      <c r="H93" s="47">
        <v>175</v>
      </c>
      <c r="I93" s="47">
        <v>584</v>
      </c>
      <c r="J93" s="47">
        <v>672</v>
      </c>
      <c r="K93" s="47">
        <v>769</v>
      </c>
      <c r="L93" s="47">
        <v>285</v>
      </c>
      <c r="M93" s="47">
        <v>45</v>
      </c>
      <c r="N93" s="47">
        <v>31</v>
      </c>
      <c r="O93" s="48">
        <f t="shared" si="0"/>
        <v>2671</v>
      </c>
    </row>
    <row r="94" spans="1:15" x14ac:dyDescent="0.25">
      <c r="A94" s="45" t="s">
        <v>33</v>
      </c>
      <c r="B94" s="46">
        <v>2020</v>
      </c>
      <c r="C94" s="47">
        <v>1</v>
      </c>
      <c r="D94" s="47">
        <v>1</v>
      </c>
      <c r="E94" s="47">
        <v>1</v>
      </c>
      <c r="F94" s="47">
        <v>0</v>
      </c>
      <c r="G94" s="47">
        <v>1</v>
      </c>
      <c r="H94" s="47">
        <v>5</v>
      </c>
      <c r="I94" s="47">
        <v>16</v>
      </c>
      <c r="J94" s="47">
        <v>18</v>
      </c>
      <c r="K94" s="47">
        <v>21</v>
      </c>
      <c r="L94" s="47">
        <v>8</v>
      </c>
      <c r="M94" s="47">
        <v>1</v>
      </c>
      <c r="N94" s="47">
        <v>1</v>
      </c>
      <c r="O94" s="48">
        <f t="shared" si="0"/>
        <v>74</v>
      </c>
    </row>
    <row r="95" spans="1:15" x14ac:dyDescent="0.25">
      <c r="A95" s="45" t="s">
        <v>5</v>
      </c>
      <c r="B95" s="46">
        <v>2020</v>
      </c>
      <c r="C95" s="47">
        <v>22</v>
      </c>
      <c r="D95" s="47">
        <v>19</v>
      </c>
      <c r="E95" s="47">
        <v>24</v>
      </c>
      <c r="F95" s="47">
        <v>16</v>
      </c>
      <c r="G95" s="47">
        <v>20</v>
      </c>
      <c r="H95" s="47">
        <v>159</v>
      </c>
      <c r="I95" s="47">
        <v>529</v>
      </c>
      <c r="J95" s="47">
        <v>609</v>
      </c>
      <c r="K95" s="47">
        <v>697</v>
      </c>
      <c r="L95" s="47">
        <v>258</v>
      </c>
      <c r="M95" s="47">
        <v>41</v>
      </c>
      <c r="N95" s="47">
        <v>29</v>
      </c>
      <c r="O95" s="48">
        <f t="shared" si="0"/>
        <v>2423</v>
      </c>
    </row>
    <row r="96" spans="1:15" x14ac:dyDescent="0.25">
      <c r="A96" s="45" t="s">
        <v>28</v>
      </c>
      <c r="B96" s="46">
        <v>2020</v>
      </c>
      <c r="C96" s="47">
        <v>40</v>
      </c>
      <c r="D96" s="47">
        <v>35</v>
      </c>
      <c r="E96" s="47">
        <v>43</v>
      </c>
      <c r="F96" s="47">
        <v>29</v>
      </c>
      <c r="G96" s="47">
        <v>36</v>
      </c>
      <c r="H96" s="47">
        <v>288</v>
      </c>
      <c r="I96" s="47">
        <v>960</v>
      </c>
      <c r="J96" s="49">
        <v>1105</v>
      </c>
      <c r="K96" s="49">
        <v>1265</v>
      </c>
      <c r="L96" s="47">
        <v>468</v>
      </c>
      <c r="M96" s="47">
        <v>74</v>
      </c>
      <c r="N96" s="47">
        <v>52</v>
      </c>
      <c r="O96" s="48">
        <f t="shared" si="0"/>
        <v>4395</v>
      </c>
    </row>
    <row r="97" spans="1:15" x14ac:dyDescent="0.25">
      <c r="A97" s="45" t="s">
        <v>27</v>
      </c>
      <c r="B97" s="46">
        <v>2020</v>
      </c>
      <c r="C97" s="47">
        <v>323</v>
      </c>
      <c r="D97" s="47">
        <v>280</v>
      </c>
      <c r="E97" s="47">
        <v>347</v>
      </c>
      <c r="F97" s="47">
        <v>230</v>
      </c>
      <c r="G97" s="47">
        <v>296</v>
      </c>
      <c r="H97" s="49">
        <v>2343</v>
      </c>
      <c r="I97" s="49">
        <v>7804</v>
      </c>
      <c r="J97" s="49">
        <v>8989</v>
      </c>
      <c r="K97" s="49">
        <v>10190</v>
      </c>
      <c r="L97" s="49">
        <v>3760</v>
      </c>
      <c r="M97" s="47">
        <v>597</v>
      </c>
      <c r="N97" s="47">
        <v>415</v>
      </c>
      <c r="O97" s="48">
        <f t="shared" si="0"/>
        <v>35574</v>
      </c>
    </row>
    <row r="98" spans="1:15" x14ac:dyDescent="0.25">
      <c r="A98" s="45" t="s">
        <v>26</v>
      </c>
      <c r="B98" s="46">
        <v>2020</v>
      </c>
      <c r="C98" s="47">
        <v>25</v>
      </c>
      <c r="D98" s="47">
        <v>22</v>
      </c>
      <c r="E98" s="47">
        <v>27</v>
      </c>
      <c r="F98" s="47">
        <v>18</v>
      </c>
      <c r="G98" s="47">
        <v>23</v>
      </c>
      <c r="H98" s="47">
        <v>180</v>
      </c>
      <c r="I98" s="47">
        <v>599</v>
      </c>
      <c r="J98" s="47">
        <v>689</v>
      </c>
      <c r="K98" s="47">
        <v>789</v>
      </c>
      <c r="L98" s="47">
        <v>292</v>
      </c>
      <c r="M98" s="47">
        <v>46</v>
      </c>
      <c r="N98" s="47">
        <v>32</v>
      </c>
      <c r="O98" s="48">
        <f t="shared" si="0"/>
        <v>2742</v>
      </c>
    </row>
    <row r="99" spans="1:15" x14ac:dyDescent="0.25">
      <c r="A99" s="45" t="s">
        <v>29</v>
      </c>
      <c r="B99" s="46">
        <v>2020</v>
      </c>
      <c r="C99" s="47">
        <v>24</v>
      </c>
      <c r="D99" s="47">
        <v>21</v>
      </c>
      <c r="E99" s="47">
        <v>26</v>
      </c>
      <c r="F99" s="47">
        <v>17</v>
      </c>
      <c r="G99" s="47">
        <v>22</v>
      </c>
      <c r="H99" s="47">
        <v>175</v>
      </c>
      <c r="I99" s="47">
        <v>585</v>
      </c>
      <c r="J99" s="47">
        <v>673</v>
      </c>
      <c r="K99" s="47">
        <v>770</v>
      </c>
      <c r="L99" s="47">
        <v>285</v>
      </c>
      <c r="M99" s="47">
        <v>45</v>
      </c>
      <c r="N99" s="47">
        <v>31</v>
      </c>
      <c r="O99" s="48">
        <f t="shared" si="0"/>
        <v>2674</v>
      </c>
    </row>
    <row r="100" spans="1:15" x14ac:dyDescent="0.25">
      <c r="A100" s="45" t="s">
        <v>24</v>
      </c>
      <c r="B100" s="46">
        <v>2020</v>
      </c>
      <c r="C100" s="47">
        <v>34</v>
      </c>
      <c r="D100" s="47">
        <v>29</v>
      </c>
      <c r="E100" s="47">
        <v>36</v>
      </c>
      <c r="F100" s="47">
        <v>24</v>
      </c>
      <c r="G100" s="47">
        <v>31</v>
      </c>
      <c r="H100" s="47">
        <v>243</v>
      </c>
      <c r="I100" s="47">
        <v>809</v>
      </c>
      <c r="J100" s="47">
        <v>932</v>
      </c>
      <c r="K100" s="49">
        <v>1066</v>
      </c>
      <c r="L100" s="47">
        <v>395</v>
      </c>
      <c r="M100" s="47">
        <v>63</v>
      </c>
      <c r="N100" s="47">
        <v>44</v>
      </c>
      <c r="O100" s="48">
        <f t="shared" si="0"/>
        <v>3706</v>
      </c>
    </row>
    <row r="101" spans="1:15" x14ac:dyDescent="0.25">
      <c r="A101" s="45" t="s">
        <v>4</v>
      </c>
      <c r="B101" s="46">
        <v>2020</v>
      </c>
      <c r="C101" s="47">
        <v>115</v>
      </c>
      <c r="D101" s="47">
        <v>99</v>
      </c>
      <c r="E101" s="47">
        <v>123</v>
      </c>
      <c r="F101" s="47">
        <v>82</v>
      </c>
      <c r="G101" s="47">
        <v>103</v>
      </c>
      <c r="H101" s="47">
        <v>821</v>
      </c>
      <c r="I101" s="49">
        <v>2737</v>
      </c>
      <c r="J101" s="49">
        <v>3150</v>
      </c>
      <c r="K101" s="49">
        <v>3606</v>
      </c>
      <c r="L101" s="49">
        <v>1334</v>
      </c>
      <c r="M101" s="47">
        <v>212</v>
      </c>
      <c r="N101" s="47">
        <v>147</v>
      </c>
      <c r="O101" s="48">
        <f t="shared" si="0"/>
        <v>12529</v>
      </c>
    </row>
    <row r="102" spans="1:15" x14ac:dyDescent="0.25">
      <c r="A102" s="45" t="s">
        <v>8</v>
      </c>
      <c r="B102" s="46">
        <v>2020</v>
      </c>
      <c r="C102" s="49">
        <v>1819</v>
      </c>
      <c r="D102" s="49">
        <v>1577</v>
      </c>
      <c r="E102" s="49">
        <v>1956</v>
      </c>
      <c r="F102" s="49">
        <v>1295</v>
      </c>
      <c r="G102" s="49">
        <v>1638</v>
      </c>
      <c r="H102" s="49">
        <v>13031</v>
      </c>
      <c r="I102" s="49">
        <v>43464</v>
      </c>
      <c r="J102" s="49">
        <v>50018</v>
      </c>
      <c r="K102" s="49">
        <v>57254</v>
      </c>
      <c r="L102" s="49">
        <v>21190</v>
      </c>
      <c r="M102" s="49">
        <v>3362</v>
      </c>
      <c r="N102" s="49">
        <v>2341</v>
      </c>
      <c r="O102" s="50">
        <f t="shared" si="0"/>
        <v>198945</v>
      </c>
    </row>
    <row r="103" spans="1:15" x14ac:dyDescent="0.25">
      <c r="A103" s="45" t="s">
        <v>3</v>
      </c>
      <c r="B103" s="46">
        <v>2020</v>
      </c>
      <c r="C103" s="47">
        <v>700</v>
      </c>
      <c r="D103" s="47">
        <v>607</v>
      </c>
      <c r="E103" s="47">
        <v>753</v>
      </c>
      <c r="F103" s="47">
        <v>499</v>
      </c>
      <c r="G103" s="47">
        <v>631</v>
      </c>
      <c r="H103" s="49">
        <v>5017</v>
      </c>
      <c r="I103" s="49">
        <v>16734</v>
      </c>
      <c r="J103" s="49">
        <v>19258</v>
      </c>
      <c r="K103" s="49">
        <v>22044</v>
      </c>
      <c r="L103" s="49">
        <v>8159</v>
      </c>
      <c r="M103" s="49">
        <v>1294</v>
      </c>
      <c r="N103" s="47">
        <v>901</v>
      </c>
      <c r="O103" s="48">
        <f t="shared" si="0"/>
        <v>76597</v>
      </c>
    </row>
    <row r="104" spans="1:15" x14ac:dyDescent="0.25">
      <c r="A104" s="51" t="s">
        <v>2</v>
      </c>
      <c r="B104" s="46">
        <v>2019</v>
      </c>
      <c r="C104" s="48">
        <v>65</v>
      </c>
      <c r="D104" s="48">
        <v>286</v>
      </c>
      <c r="E104" s="48">
        <v>102</v>
      </c>
      <c r="F104" s="50">
        <v>1666</v>
      </c>
      <c r="G104" s="50">
        <v>6724</v>
      </c>
      <c r="H104" s="50">
        <v>13949</v>
      </c>
      <c r="I104" s="50">
        <v>16626</v>
      </c>
      <c r="J104" s="50">
        <v>13645</v>
      </c>
      <c r="K104" s="50">
        <v>7798</v>
      </c>
      <c r="L104" s="50">
        <v>6086</v>
      </c>
      <c r="M104" s="50">
        <v>3634</v>
      </c>
      <c r="N104" s="48">
        <v>601</v>
      </c>
      <c r="O104" s="48">
        <f t="shared" si="0"/>
        <v>71182</v>
      </c>
    </row>
    <row r="105" spans="1:15" x14ac:dyDescent="0.25">
      <c r="A105" s="51" t="s">
        <v>16</v>
      </c>
      <c r="B105" s="46">
        <v>2019</v>
      </c>
      <c r="C105" s="48">
        <v>14</v>
      </c>
      <c r="D105" s="48">
        <v>61</v>
      </c>
      <c r="E105" s="48">
        <v>22</v>
      </c>
      <c r="F105" s="48">
        <v>358</v>
      </c>
      <c r="G105" s="50">
        <v>1447</v>
      </c>
      <c r="H105" s="50">
        <v>2999</v>
      </c>
      <c r="I105" s="50">
        <v>3576</v>
      </c>
      <c r="J105" s="50">
        <v>2937</v>
      </c>
      <c r="K105" s="50">
        <v>1676</v>
      </c>
      <c r="L105" s="50">
        <v>1308</v>
      </c>
      <c r="M105" s="48">
        <v>781</v>
      </c>
      <c r="N105" s="48">
        <v>129</v>
      </c>
      <c r="O105" s="48">
        <f t="shared" si="0"/>
        <v>15308</v>
      </c>
    </row>
    <row r="106" spans="1:15" x14ac:dyDescent="0.25">
      <c r="A106" s="51" t="s">
        <v>42</v>
      </c>
      <c r="B106" s="46">
        <v>2019</v>
      </c>
      <c r="C106" s="48">
        <v>0</v>
      </c>
      <c r="D106" s="48">
        <v>0</v>
      </c>
      <c r="E106" s="48">
        <v>0</v>
      </c>
      <c r="F106" s="48">
        <v>0</v>
      </c>
      <c r="G106" s="48">
        <v>1</v>
      </c>
      <c r="H106" s="48">
        <v>2</v>
      </c>
      <c r="I106" s="48">
        <v>4</v>
      </c>
      <c r="J106" s="48">
        <v>2</v>
      </c>
      <c r="K106" s="48">
        <v>1</v>
      </c>
      <c r="L106" s="48">
        <v>1</v>
      </c>
      <c r="M106" s="48">
        <v>1</v>
      </c>
      <c r="N106" s="48">
        <v>0</v>
      </c>
      <c r="O106" s="48">
        <f t="shared" si="0"/>
        <v>12</v>
      </c>
    </row>
    <row r="107" spans="1:15" x14ac:dyDescent="0.25">
      <c r="A107" s="51" t="s">
        <v>13</v>
      </c>
      <c r="B107" s="46">
        <v>2019</v>
      </c>
      <c r="C107" s="48">
        <v>2</v>
      </c>
      <c r="D107" s="48">
        <v>10</v>
      </c>
      <c r="E107" s="48">
        <v>4</v>
      </c>
      <c r="F107" s="48">
        <v>60</v>
      </c>
      <c r="G107" s="48">
        <v>242</v>
      </c>
      <c r="H107" s="48">
        <v>503</v>
      </c>
      <c r="I107" s="48">
        <v>601</v>
      </c>
      <c r="J107" s="48">
        <v>492</v>
      </c>
      <c r="K107" s="48">
        <v>281</v>
      </c>
      <c r="L107" s="48">
        <v>219</v>
      </c>
      <c r="M107" s="48">
        <v>131</v>
      </c>
      <c r="N107" s="48">
        <v>22</v>
      </c>
      <c r="O107" s="48">
        <f t="shared" si="0"/>
        <v>2567</v>
      </c>
    </row>
    <row r="108" spans="1:15" x14ac:dyDescent="0.25">
      <c r="A108" s="51" t="s">
        <v>9</v>
      </c>
      <c r="B108" s="46">
        <v>2019</v>
      </c>
      <c r="C108" s="48">
        <v>56</v>
      </c>
      <c r="D108" s="48">
        <v>238</v>
      </c>
      <c r="E108" s="48">
        <v>87</v>
      </c>
      <c r="F108" s="50">
        <v>1374</v>
      </c>
      <c r="G108" s="50">
        <v>5526</v>
      </c>
      <c r="H108" s="50">
        <v>11466</v>
      </c>
      <c r="I108" s="50">
        <v>13646</v>
      </c>
      <c r="J108" s="50">
        <v>11196</v>
      </c>
      <c r="K108" s="50">
        <v>6401</v>
      </c>
      <c r="L108" s="50">
        <v>4995</v>
      </c>
      <c r="M108" s="50">
        <v>2983</v>
      </c>
      <c r="N108" s="48">
        <v>496</v>
      </c>
      <c r="O108" s="48">
        <f t="shared" si="0"/>
        <v>58464</v>
      </c>
    </row>
    <row r="109" spans="1:15" x14ac:dyDescent="0.25">
      <c r="A109" s="51" t="s">
        <v>43</v>
      </c>
      <c r="B109" s="46">
        <v>2019</v>
      </c>
      <c r="C109" s="48">
        <v>0</v>
      </c>
      <c r="D109" s="48">
        <v>2</v>
      </c>
      <c r="E109" s="48">
        <v>1</v>
      </c>
      <c r="F109" s="48">
        <v>11</v>
      </c>
      <c r="G109" s="48">
        <v>45</v>
      </c>
      <c r="H109" s="48">
        <v>94</v>
      </c>
      <c r="I109" s="48">
        <v>113</v>
      </c>
      <c r="J109" s="48">
        <v>92</v>
      </c>
      <c r="K109" s="48">
        <v>52</v>
      </c>
      <c r="L109" s="48">
        <v>41</v>
      </c>
      <c r="M109" s="48">
        <v>24</v>
      </c>
      <c r="N109" s="48">
        <v>4</v>
      </c>
      <c r="O109" s="48">
        <f t="shared" si="0"/>
        <v>479</v>
      </c>
    </row>
    <row r="110" spans="1:15" x14ac:dyDescent="0.25">
      <c r="A110" s="51" t="s">
        <v>11</v>
      </c>
      <c r="B110" s="46">
        <v>2019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48">
        <f t="shared" si="0"/>
        <v>0</v>
      </c>
    </row>
    <row r="111" spans="1:15" x14ac:dyDescent="0.25">
      <c r="A111" s="51" t="s">
        <v>25</v>
      </c>
      <c r="B111" s="46">
        <v>2019</v>
      </c>
      <c r="C111" s="48">
        <v>0</v>
      </c>
      <c r="D111" s="48">
        <v>1</v>
      </c>
      <c r="E111" s="48">
        <v>0</v>
      </c>
      <c r="F111" s="48">
        <v>4</v>
      </c>
      <c r="G111" s="48">
        <v>15</v>
      </c>
      <c r="H111" s="48">
        <v>31</v>
      </c>
      <c r="I111" s="48">
        <v>38</v>
      </c>
      <c r="J111" s="48">
        <v>30</v>
      </c>
      <c r="K111" s="48">
        <v>17</v>
      </c>
      <c r="L111" s="48">
        <v>14</v>
      </c>
      <c r="M111" s="48">
        <v>8</v>
      </c>
      <c r="N111" s="48">
        <v>1</v>
      </c>
      <c r="O111" s="48">
        <f t="shared" si="0"/>
        <v>159</v>
      </c>
    </row>
    <row r="112" spans="1:15" x14ac:dyDescent="0.25">
      <c r="A112" s="51" t="s">
        <v>7</v>
      </c>
      <c r="B112" s="46">
        <v>2019</v>
      </c>
      <c r="C112" s="48">
        <v>15</v>
      </c>
      <c r="D112" s="48">
        <v>67</v>
      </c>
      <c r="E112" s="48">
        <v>24</v>
      </c>
      <c r="F112" s="48">
        <v>388</v>
      </c>
      <c r="G112" s="50">
        <v>1567</v>
      </c>
      <c r="H112" s="50">
        <v>3251</v>
      </c>
      <c r="I112" s="50">
        <v>3875</v>
      </c>
      <c r="J112" s="50">
        <v>3180</v>
      </c>
      <c r="K112" s="50">
        <v>1817</v>
      </c>
      <c r="L112" s="50">
        <v>1418</v>
      </c>
      <c r="M112" s="48">
        <v>847</v>
      </c>
      <c r="N112" s="48">
        <v>153</v>
      </c>
      <c r="O112" s="48">
        <f t="shared" si="0"/>
        <v>16602</v>
      </c>
    </row>
    <row r="113" spans="1:15" x14ac:dyDescent="0.25">
      <c r="A113" s="51" t="s">
        <v>12</v>
      </c>
      <c r="B113" s="46">
        <v>2019</v>
      </c>
      <c r="C113" s="48">
        <v>19</v>
      </c>
      <c r="D113" s="48">
        <v>80</v>
      </c>
      <c r="E113" s="48">
        <v>29</v>
      </c>
      <c r="F113" s="48">
        <v>461</v>
      </c>
      <c r="G113" s="50">
        <v>1885</v>
      </c>
      <c r="H113" s="50">
        <v>3911</v>
      </c>
      <c r="I113" s="50">
        <v>4648</v>
      </c>
      <c r="J113" s="50">
        <v>3814</v>
      </c>
      <c r="K113" s="50">
        <v>2166</v>
      </c>
      <c r="L113" s="50">
        <v>1692</v>
      </c>
      <c r="M113" s="50">
        <v>1015</v>
      </c>
      <c r="N113" s="48">
        <v>173</v>
      </c>
      <c r="O113" s="48">
        <f t="shared" si="0"/>
        <v>19893</v>
      </c>
    </row>
    <row r="114" spans="1:15" x14ac:dyDescent="0.25">
      <c r="A114" s="51" t="s">
        <v>14</v>
      </c>
      <c r="B114" s="46">
        <v>2019</v>
      </c>
      <c r="C114" s="48">
        <v>21</v>
      </c>
      <c r="D114" s="48">
        <v>91</v>
      </c>
      <c r="E114" s="48">
        <v>33</v>
      </c>
      <c r="F114" s="48">
        <v>532</v>
      </c>
      <c r="G114" s="50">
        <v>2171</v>
      </c>
      <c r="H114" s="50">
        <v>4597</v>
      </c>
      <c r="I114" s="50">
        <v>5514</v>
      </c>
      <c r="J114" s="50">
        <v>4591</v>
      </c>
      <c r="K114" s="50">
        <v>2589</v>
      </c>
      <c r="L114" s="50">
        <v>1979</v>
      </c>
      <c r="M114" s="50">
        <v>1180</v>
      </c>
      <c r="N114" s="48">
        <v>215</v>
      </c>
      <c r="O114" s="48">
        <f t="shared" si="0"/>
        <v>23513</v>
      </c>
    </row>
    <row r="115" spans="1:15" x14ac:dyDescent="0.25">
      <c r="A115" s="51" t="s">
        <v>15</v>
      </c>
      <c r="B115" s="46">
        <v>2019</v>
      </c>
      <c r="C115" s="48">
        <v>37</v>
      </c>
      <c r="D115" s="48">
        <v>162</v>
      </c>
      <c r="E115" s="48">
        <v>60</v>
      </c>
      <c r="F115" s="48">
        <v>959</v>
      </c>
      <c r="G115" s="50">
        <v>3930</v>
      </c>
      <c r="H115" s="50">
        <v>8496</v>
      </c>
      <c r="I115" s="50">
        <v>12018</v>
      </c>
      <c r="J115" s="50">
        <v>10125</v>
      </c>
      <c r="K115" s="50">
        <v>6067</v>
      </c>
      <c r="L115" s="50">
        <v>4525</v>
      </c>
      <c r="M115" s="50">
        <v>2243</v>
      </c>
      <c r="N115" s="48">
        <v>424</v>
      </c>
      <c r="O115" s="48">
        <f t="shared" si="0"/>
        <v>49046</v>
      </c>
    </row>
    <row r="116" spans="1:15" x14ac:dyDescent="0.25">
      <c r="A116" s="51" t="s">
        <v>19</v>
      </c>
      <c r="B116" s="46">
        <v>2019</v>
      </c>
      <c r="C116" s="48">
        <v>3</v>
      </c>
      <c r="D116" s="48">
        <v>15</v>
      </c>
      <c r="E116" s="48">
        <v>5</v>
      </c>
      <c r="F116" s="48">
        <v>85</v>
      </c>
      <c r="G116" s="48">
        <v>341</v>
      </c>
      <c r="H116" s="48">
        <v>708</v>
      </c>
      <c r="I116" s="48">
        <v>844</v>
      </c>
      <c r="J116" s="48">
        <v>693</v>
      </c>
      <c r="K116" s="48">
        <v>396</v>
      </c>
      <c r="L116" s="48">
        <v>309</v>
      </c>
      <c r="M116" s="48">
        <v>184</v>
      </c>
      <c r="N116" s="48">
        <v>31</v>
      </c>
      <c r="O116" s="48">
        <f t="shared" si="0"/>
        <v>3614</v>
      </c>
    </row>
    <row r="117" spans="1:15" x14ac:dyDescent="0.25">
      <c r="A117" s="51" t="s">
        <v>21</v>
      </c>
      <c r="B117" s="46">
        <v>2019</v>
      </c>
      <c r="C117" s="48">
        <v>1</v>
      </c>
      <c r="D117" s="48">
        <v>5</v>
      </c>
      <c r="E117" s="48">
        <v>2</v>
      </c>
      <c r="F117" s="48">
        <v>32</v>
      </c>
      <c r="G117" s="48">
        <v>128</v>
      </c>
      <c r="H117" s="48">
        <v>265</v>
      </c>
      <c r="I117" s="48">
        <v>317</v>
      </c>
      <c r="J117" s="48">
        <v>259</v>
      </c>
      <c r="K117" s="48">
        <v>148</v>
      </c>
      <c r="L117" s="48">
        <v>116</v>
      </c>
      <c r="M117" s="48">
        <v>69</v>
      </c>
      <c r="N117" s="48">
        <v>11</v>
      </c>
      <c r="O117" s="48">
        <f t="shared" si="0"/>
        <v>1353</v>
      </c>
    </row>
    <row r="118" spans="1:15" x14ac:dyDescent="0.25">
      <c r="A118" s="51" t="s">
        <v>20</v>
      </c>
      <c r="B118" s="46">
        <v>2019</v>
      </c>
      <c r="C118" s="48">
        <v>0</v>
      </c>
      <c r="D118" s="48">
        <v>2</v>
      </c>
      <c r="E118" s="48">
        <v>1</v>
      </c>
      <c r="F118" s="48">
        <v>9</v>
      </c>
      <c r="G118" s="48">
        <v>36</v>
      </c>
      <c r="H118" s="48">
        <v>75</v>
      </c>
      <c r="I118" s="48">
        <v>89</v>
      </c>
      <c r="J118" s="48">
        <v>73</v>
      </c>
      <c r="K118" s="48">
        <v>42</v>
      </c>
      <c r="L118" s="48">
        <v>33</v>
      </c>
      <c r="M118" s="48">
        <v>19</v>
      </c>
      <c r="N118" s="48">
        <v>3</v>
      </c>
      <c r="O118" s="48">
        <f t="shared" si="0"/>
        <v>382</v>
      </c>
    </row>
    <row r="119" spans="1:15" x14ac:dyDescent="0.25">
      <c r="A119" s="51" t="s">
        <v>22</v>
      </c>
      <c r="B119" s="46">
        <v>2019</v>
      </c>
      <c r="C119" s="48">
        <v>0</v>
      </c>
      <c r="D119" s="48">
        <v>1</v>
      </c>
      <c r="E119" s="48">
        <v>0</v>
      </c>
      <c r="F119" s="48">
        <v>6</v>
      </c>
      <c r="G119" s="48">
        <v>25</v>
      </c>
      <c r="H119" s="48">
        <v>52</v>
      </c>
      <c r="I119" s="48">
        <v>64</v>
      </c>
      <c r="J119" s="48">
        <v>51</v>
      </c>
      <c r="K119" s="48">
        <v>29</v>
      </c>
      <c r="L119" s="48">
        <v>23</v>
      </c>
      <c r="M119" s="48">
        <v>14</v>
      </c>
      <c r="N119" s="48">
        <v>2</v>
      </c>
      <c r="O119" s="48">
        <f t="shared" si="0"/>
        <v>267</v>
      </c>
    </row>
    <row r="120" spans="1:15" x14ac:dyDescent="0.25">
      <c r="A120" s="51" t="s">
        <v>23</v>
      </c>
      <c r="B120" s="46">
        <v>2019</v>
      </c>
      <c r="C120" s="48">
        <v>0</v>
      </c>
      <c r="D120" s="48">
        <v>1</v>
      </c>
      <c r="E120" s="48">
        <v>0</v>
      </c>
      <c r="F120" s="48">
        <v>6</v>
      </c>
      <c r="G120" s="48">
        <v>22</v>
      </c>
      <c r="H120" s="48">
        <v>47</v>
      </c>
      <c r="I120" s="48">
        <v>56</v>
      </c>
      <c r="J120" s="48">
        <v>46</v>
      </c>
      <c r="K120" s="48">
        <v>26</v>
      </c>
      <c r="L120" s="48">
        <v>20</v>
      </c>
      <c r="M120" s="48">
        <v>12</v>
      </c>
      <c r="N120" s="48">
        <v>2</v>
      </c>
      <c r="O120" s="48">
        <f t="shared" si="0"/>
        <v>238</v>
      </c>
    </row>
    <row r="121" spans="1:15" x14ac:dyDescent="0.25">
      <c r="A121" s="51" t="s">
        <v>6</v>
      </c>
      <c r="B121" s="46">
        <v>2019</v>
      </c>
      <c r="C121" s="48">
        <v>0</v>
      </c>
      <c r="D121" s="48">
        <v>0</v>
      </c>
      <c r="E121" s="48">
        <v>0</v>
      </c>
      <c r="F121" s="48">
        <v>0</v>
      </c>
      <c r="G121" s="48">
        <v>0</v>
      </c>
      <c r="H121" s="48">
        <v>0</v>
      </c>
      <c r="I121" s="48">
        <v>0</v>
      </c>
      <c r="J121" s="48">
        <v>0</v>
      </c>
      <c r="K121" s="48">
        <v>0</v>
      </c>
      <c r="L121" s="48">
        <v>0</v>
      </c>
      <c r="M121" s="48">
        <v>0</v>
      </c>
      <c r="N121" s="48">
        <v>0</v>
      </c>
      <c r="O121" s="48">
        <f t="shared" si="0"/>
        <v>0</v>
      </c>
    </row>
    <row r="122" spans="1:15" x14ac:dyDescent="0.25">
      <c r="A122" s="51" t="s">
        <v>10</v>
      </c>
      <c r="B122" s="46">
        <v>2019</v>
      </c>
      <c r="C122" s="48">
        <v>101</v>
      </c>
      <c r="D122" s="48">
        <v>443</v>
      </c>
      <c r="E122" s="48">
        <v>159</v>
      </c>
      <c r="F122" s="50">
        <v>2582</v>
      </c>
      <c r="G122" s="50">
        <v>10418</v>
      </c>
      <c r="H122" s="50">
        <v>21613</v>
      </c>
      <c r="I122" s="50">
        <v>25760</v>
      </c>
      <c r="J122" s="50">
        <v>21142</v>
      </c>
      <c r="K122" s="50">
        <v>12082</v>
      </c>
      <c r="L122" s="50">
        <v>9429</v>
      </c>
      <c r="M122" s="50">
        <v>5630</v>
      </c>
      <c r="N122" s="48">
        <v>932</v>
      </c>
      <c r="O122" s="48">
        <f t="shared" si="0"/>
        <v>110291</v>
      </c>
    </row>
    <row r="123" spans="1:15" x14ac:dyDescent="0.25">
      <c r="A123" s="51" t="s">
        <v>30</v>
      </c>
      <c r="B123" s="46">
        <v>2019</v>
      </c>
      <c r="C123" s="48">
        <v>0</v>
      </c>
      <c r="D123" s="48">
        <v>2</v>
      </c>
      <c r="E123" s="48">
        <v>1</v>
      </c>
      <c r="F123" s="48">
        <v>9</v>
      </c>
      <c r="G123" s="48">
        <v>38</v>
      </c>
      <c r="H123" s="48">
        <v>78</v>
      </c>
      <c r="I123" s="48">
        <v>94</v>
      </c>
      <c r="J123" s="48">
        <v>77</v>
      </c>
      <c r="K123" s="48">
        <v>44</v>
      </c>
      <c r="L123" s="48">
        <v>34</v>
      </c>
      <c r="M123" s="48">
        <v>20</v>
      </c>
      <c r="N123" s="48">
        <v>3</v>
      </c>
      <c r="O123" s="48">
        <f t="shared" si="0"/>
        <v>400</v>
      </c>
    </row>
    <row r="124" spans="1:15" x14ac:dyDescent="0.25">
      <c r="A124" s="51" t="s">
        <v>31</v>
      </c>
      <c r="B124" s="46">
        <v>2019</v>
      </c>
      <c r="C124" s="48">
        <v>0</v>
      </c>
      <c r="D124" s="48">
        <v>0</v>
      </c>
      <c r="E124" s="48">
        <v>0</v>
      </c>
      <c r="F124" s="48">
        <v>0</v>
      </c>
      <c r="G124" s="48">
        <v>1</v>
      </c>
      <c r="H124" s="48">
        <v>2</v>
      </c>
      <c r="I124" s="48">
        <v>1</v>
      </c>
      <c r="J124" s="48">
        <v>2</v>
      </c>
      <c r="K124" s="48">
        <v>1</v>
      </c>
      <c r="L124" s="48">
        <v>1</v>
      </c>
      <c r="M124" s="48">
        <v>0</v>
      </c>
      <c r="N124" s="48">
        <v>0</v>
      </c>
      <c r="O124" s="48">
        <f t="shared" si="0"/>
        <v>8</v>
      </c>
    </row>
    <row r="125" spans="1:15" x14ac:dyDescent="0.25">
      <c r="A125" s="51" t="s">
        <v>17</v>
      </c>
      <c r="B125" s="46">
        <v>2019</v>
      </c>
      <c r="C125" s="48">
        <v>6</v>
      </c>
      <c r="D125" s="48">
        <v>26</v>
      </c>
      <c r="E125" s="48">
        <v>9</v>
      </c>
      <c r="F125" s="48">
        <v>154</v>
      </c>
      <c r="G125" s="48">
        <v>620</v>
      </c>
      <c r="H125" s="50">
        <v>1286</v>
      </c>
      <c r="I125" s="50">
        <v>1536</v>
      </c>
      <c r="J125" s="50">
        <v>1258</v>
      </c>
      <c r="K125" s="48">
        <v>729</v>
      </c>
      <c r="L125" s="48">
        <v>561</v>
      </c>
      <c r="M125" s="48">
        <v>335</v>
      </c>
      <c r="N125" s="48">
        <v>55</v>
      </c>
      <c r="O125" s="48">
        <f t="shared" si="0"/>
        <v>6575</v>
      </c>
    </row>
    <row r="126" spans="1:15" x14ac:dyDescent="0.25">
      <c r="A126" s="51" t="s">
        <v>18</v>
      </c>
      <c r="B126" s="46">
        <v>2019</v>
      </c>
      <c r="C126" s="48">
        <v>22</v>
      </c>
      <c r="D126" s="48">
        <v>96</v>
      </c>
      <c r="E126" s="48">
        <v>34</v>
      </c>
      <c r="F126" s="48">
        <v>557</v>
      </c>
      <c r="G126" s="50">
        <v>2247</v>
      </c>
      <c r="H126" s="50">
        <v>4664</v>
      </c>
      <c r="I126" s="50">
        <v>5554</v>
      </c>
      <c r="J126" s="50">
        <v>4559</v>
      </c>
      <c r="K126" s="50">
        <v>2605</v>
      </c>
      <c r="L126" s="50">
        <v>2033</v>
      </c>
      <c r="M126" s="50">
        <v>1214</v>
      </c>
      <c r="N126" s="48">
        <v>202</v>
      </c>
      <c r="O126" s="48">
        <f t="shared" si="0"/>
        <v>23787</v>
      </c>
    </row>
    <row r="127" spans="1:15" x14ac:dyDescent="0.25">
      <c r="A127" s="51" t="s">
        <v>32</v>
      </c>
      <c r="B127" s="46">
        <v>2019</v>
      </c>
      <c r="C127" s="48">
        <v>3</v>
      </c>
      <c r="D127" s="48">
        <v>11</v>
      </c>
      <c r="E127" s="48">
        <v>4</v>
      </c>
      <c r="F127" s="48">
        <v>65</v>
      </c>
      <c r="G127" s="48">
        <v>263</v>
      </c>
      <c r="H127" s="48">
        <v>546</v>
      </c>
      <c r="I127" s="48">
        <v>650</v>
      </c>
      <c r="J127" s="48">
        <v>534</v>
      </c>
      <c r="K127" s="48">
        <v>305</v>
      </c>
      <c r="L127" s="48">
        <v>238</v>
      </c>
      <c r="M127" s="48">
        <v>142</v>
      </c>
      <c r="N127" s="48">
        <v>24</v>
      </c>
      <c r="O127" s="48">
        <f t="shared" si="0"/>
        <v>2785</v>
      </c>
    </row>
    <row r="128" spans="1:15" x14ac:dyDescent="0.25">
      <c r="A128" s="51" t="s">
        <v>33</v>
      </c>
      <c r="B128" s="46">
        <v>2019</v>
      </c>
      <c r="C128" s="48">
        <v>0</v>
      </c>
      <c r="D128" s="48">
        <v>0</v>
      </c>
      <c r="E128" s="48">
        <v>0</v>
      </c>
      <c r="F128" s="48">
        <v>0</v>
      </c>
      <c r="G128" s="48">
        <v>0</v>
      </c>
      <c r="H128" s="48">
        <v>0</v>
      </c>
      <c r="I128" s="48">
        <v>1</v>
      </c>
      <c r="J128" s="48">
        <v>0</v>
      </c>
      <c r="K128" s="48">
        <v>0</v>
      </c>
      <c r="L128" s="48">
        <v>0</v>
      </c>
      <c r="M128" s="48">
        <v>0</v>
      </c>
      <c r="N128" s="48">
        <v>0</v>
      </c>
      <c r="O128" s="48">
        <f t="shared" si="0"/>
        <v>1</v>
      </c>
    </row>
    <row r="129" spans="1:15" x14ac:dyDescent="0.25">
      <c r="A129" s="51" t="s">
        <v>5</v>
      </c>
      <c r="B129" s="46">
        <v>2019</v>
      </c>
      <c r="C129" s="48">
        <v>3</v>
      </c>
      <c r="D129" s="48">
        <v>12</v>
      </c>
      <c r="E129" s="48">
        <v>4</v>
      </c>
      <c r="F129" s="48">
        <v>71</v>
      </c>
      <c r="G129" s="48">
        <v>286</v>
      </c>
      <c r="H129" s="48">
        <v>594</v>
      </c>
      <c r="I129" s="48">
        <v>709</v>
      </c>
      <c r="J129" s="48">
        <v>581</v>
      </c>
      <c r="K129" s="48">
        <v>332</v>
      </c>
      <c r="L129" s="48">
        <v>259</v>
      </c>
      <c r="M129" s="48">
        <v>155</v>
      </c>
      <c r="N129" s="48">
        <v>26</v>
      </c>
      <c r="O129" s="48">
        <f t="shared" si="0"/>
        <v>3032</v>
      </c>
    </row>
    <row r="130" spans="1:15" x14ac:dyDescent="0.25">
      <c r="A130" s="51" t="s">
        <v>28</v>
      </c>
      <c r="B130" s="46">
        <v>2019</v>
      </c>
      <c r="C130" s="48">
        <v>3</v>
      </c>
      <c r="D130" s="48">
        <v>15</v>
      </c>
      <c r="E130" s="48">
        <v>5</v>
      </c>
      <c r="F130" s="48">
        <v>88</v>
      </c>
      <c r="G130" s="48">
        <v>354</v>
      </c>
      <c r="H130" s="48">
        <v>734</v>
      </c>
      <c r="I130" s="48">
        <v>874</v>
      </c>
      <c r="J130" s="48">
        <v>718</v>
      </c>
      <c r="K130" s="48">
        <v>410</v>
      </c>
      <c r="L130" s="48">
        <v>320</v>
      </c>
      <c r="M130" s="48">
        <v>191</v>
      </c>
      <c r="N130" s="48">
        <v>32</v>
      </c>
      <c r="O130" s="48">
        <f t="shared" si="0"/>
        <v>3744</v>
      </c>
    </row>
    <row r="131" spans="1:15" x14ac:dyDescent="0.25">
      <c r="A131" s="51" t="s">
        <v>27</v>
      </c>
      <c r="B131" s="46">
        <v>2019</v>
      </c>
      <c r="C131" s="48">
        <v>29</v>
      </c>
      <c r="D131" s="48">
        <v>129</v>
      </c>
      <c r="E131" s="48">
        <v>46</v>
      </c>
      <c r="F131" s="48">
        <v>757</v>
      </c>
      <c r="G131" s="50">
        <v>3056</v>
      </c>
      <c r="H131" s="50">
        <v>6370</v>
      </c>
      <c r="I131" s="50">
        <v>7638</v>
      </c>
      <c r="J131" s="50">
        <v>6247</v>
      </c>
      <c r="K131" s="50">
        <v>3542</v>
      </c>
      <c r="L131" s="50">
        <v>2762</v>
      </c>
      <c r="M131" s="50">
        <v>1653</v>
      </c>
      <c r="N131" s="48">
        <v>274</v>
      </c>
      <c r="O131" s="48">
        <f t="shared" si="0"/>
        <v>32503</v>
      </c>
    </row>
    <row r="132" spans="1:15" x14ac:dyDescent="0.25">
      <c r="A132" s="51" t="s">
        <v>26</v>
      </c>
      <c r="B132" s="46">
        <v>2019</v>
      </c>
      <c r="C132" s="48">
        <v>3</v>
      </c>
      <c r="D132" s="48">
        <v>12</v>
      </c>
      <c r="E132" s="48">
        <v>4</v>
      </c>
      <c r="F132" s="48">
        <v>68</v>
      </c>
      <c r="G132" s="48">
        <v>273</v>
      </c>
      <c r="H132" s="48">
        <v>566</v>
      </c>
      <c r="I132" s="48">
        <v>674</v>
      </c>
      <c r="J132" s="48">
        <v>554</v>
      </c>
      <c r="K132" s="48">
        <v>316</v>
      </c>
      <c r="L132" s="48">
        <v>247</v>
      </c>
      <c r="M132" s="48">
        <v>147</v>
      </c>
      <c r="N132" s="48">
        <v>24</v>
      </c>
      <c r="O132" s="48">
        <f t="shared" si="0"/>
        <v>2888</v>
      </c>
    </row>
    <row r="133" spans="1:15" x14ac:dyDescent="0.25">
      <c r="A133" s="51" t="s">
        <v>29</v>
      </c>
      <c r="B133" s="46">
        <v>2019</v>
      </c>
      <c r="C133" s="48">
        <v>2</v>
      </c>
      <c r="D133" s="48">
        <v>11</v>
      </c>
      <c r="E133" s="48">
        <v>4</v>
      </c>
      <c r="F133" s="48">
        <v>63</v>
      </c>
      <c r="G133" s="48">
        <v>255</v>
      </c>
      <c r="H133" s="48">
        <v>529</v>
      </c>
      <c r="I133" s="48">
        <v>632</v>
      </c>
      <c r="J133" s="48">
        <v>518</v>
      </c>
      <c r="K133" s="48">
        <v>296</v>
      </c>
      <c r="L133" s="48">
        <v>231</v>
      </c>
      <c r="M133" s="48">
        <v>138</v>
      </c>
      <c r="N133" s="48">
        <v>23</v>
      </c>
      <c r="O133" s="48">
        <f t="shared" si="0"/>
        <v>2702</v>
      </c>
    </row>
    <row r="134" spans="1:15" x14ac:dyDescent="0.25">
      <c r="A134" s="51" t="s">
        <v>24</v>
      </c>
      <c r="B134" s="46">
        <v>2019</v>
      </c>
      <c r="C134" s="48">
        <v>3</v>
      </c>
      <c r="D134" s="48">
        <v>15</v>
      </c>
      <c r="E134" s="48">
        <v>5</v>
      </c>
      <c r="F134" s="48">
        <v>86</v>
      </c>
      <c r="G134" s="48">
        <v>348</v>
      </c>
      <c r="H134" s="48">
        <v>721</v>
      </c>
      <c r="I134" s="48">
        <v>860</v>
      </c>
      <c r="J134" s="48">
        <v>706</v>
      </c>
      <c r="K134" s="48">
        <v>403</v>
      </c>
      <c r="L134" s="48">
        <v>315</v>
      </c>
      <c r="M134" s="48">
        <v>188</v>
      </c>
      <c r="N134" s="48">
        <v>31</v>
      </c>
      <c r="O134" s="48">
        <f t="shared" si="0"/>
        <v>3681</v>
      </c>
    </row>
    <row r="135" spans="1:15" x14ac:dyDescent="0.25">
      <c r="A135" s="51" t="s">
        <v>4</v>
      </c>
      <c r="B135" s="46">
        <v>2019</v>
      </c>
      <c r="C135" s="48">
        <v>16</v>
      </c>
      <c r="D135" s="48">
        <v>72</v>
      </c>
      <c r="E135" s="48">
        <v>26</v>
      </c>
      <c r="F135" s="48">
        <v>417</v>
      </c>
      <c r="G135" s="50">
        <v>1684</v>
      </c>
      <c r="H135" s="50">
        <v>3493</v>
      </c>
      <c r="I135" s="50">
        <v>4161</v>
      </c>
      <c r="J135" s="50">
        <v>3417</v>
      </c>
      <c r="K135" s="50">
        <v>1952</v>
      </c>
      <c r="L135" s="50">
        <v>1524</v>
      </c>
      <c r="M135" s="48">
        <v>910</v>
      </c>
      <c r="N135" s="48">
        <v>151</v>
      </c>
      <c r="O135" s="48">
        <f t="shared" si="0"/>
        <v>17823</v>
      </c>
    </row>
    <row r="136" spans="1:15" x14ac:dyDescent="0.25">
      <c r="A136" s="51" t="s">
        <v>8</v>
      </c>
      <c r="B136" s="46">
        <v>2019</v>
      </c>
      <c r="C136" s="48">
        <v>179</v>
      </c>
      <c r="D136" s="48">
        <v>788</v>
      </c>
      <c r="E136" s="48">
        <v>282</v>
      </c>
      <c r="F136" s="50">
        <v>4588</v>
      </c>
      <c r="G136" s="50">
        <v>18516</v>
      </c>
      <c r="H136" s="50">
        <v>38411</v>
      </c>
      <c r="I136" s="50">
        <v>45785</v>
      </c>
      <c r="J136" s="50">
        <v>37575</v>
      </c>
      <c r="K136" s="50">
        <v>21472</v>
      </c>
      <c r="L136" s="50">
        <v>16758</v>
      </c>
      <c r="M136" s="50">
        <v>10006</v>
      </c>
      <c r="N136" s="50">
        <v>1656</v>
      </c>
      <c r="O136" s="48">
        <f t="shared" si="0"/>
        <v>196016</v>
      </c>
    </row>
    <row r="137" spans="1:15" x14ac:dyDescent="0.25">
      <c r="A137" s="51" t="s">
        <v>3</v>
      </c>
      <c r="B137" s="46">
        <v>2019</v>
      </c>
      <c r="C137" s="48">
        <v>66</v>
      </c>
      <c r="D137" s="48">
        <v>291</v>
      </c>
      <c r="E137" s="48">
        <v>104</v>
      </c>
      <c r="F137" s="50">
        <v>1693</v>
      </c>
      <c r="G137" s="50">
        <v>6834</v>
      </c>
      <c r="H137" s="50">
        <v>14176</v>
      </c>
      <c r="I137" s="50">
        <v>16897</v>
      </c>
      <c r="J137" s="50">
        <v>13868</v>
      </c>
      <c r="K137" s="50">
        <v>7925</v>
      </c>
      <c r="L137" s="50">
        <v>6185</v>
      </c>
      <c r="M137" s="50">
        <v>3693</v>
      </c>
      <c r="N137" s="48">
        <v>611</v>
      </c>
      <c r="O137" s="48">
        <f t="shared" si="0"/>
        <v>72343</v>
      </c>
    </row>
    <row r="138" spans="1:15" x14ac:dyDescent="0.25">
      <c r="A138" s="45" t="s">
        <v>2</v>
      </c>
      <c r="B138" s="46">
        <v>2018</v>
      </c>
      <c r="C138" s="47">
        <v>59</v>
      </c>
      <c r="D138" s="47">
        <v>260</v>
      </c>
      <c r="E138" s="47">
        <v>93</v>
      </c>
      <c r="F138" s="49">
        <v>1517</v>
      </c>
      <c r="G138" s="49">
        <v>6122</v>
      </c>
      <c r="H138" s="49">
        <v>12701</v>
      </c>
      <c r="I138" s="49">
        <v>15140</v>
      </c>
      <c r="J138" s="49">
        <v>12424</v>
      </c>
      <c r="K138" s="49">
        <v>7100</v>
      </c>
      <c r="L138" s="49">
        <v>5541</v>
      </c>
      <c r="M138" s="49">
        <v>3308</v>
      </c>
      <c r="N138" s="47">
        <v>547</v>
      </c>
      <c r="O138" s="48">
        <f t="shared" si="0"/>
        <v>64812</v>
      </c>
    </row>
    <row r="139" spans="1:15" x14ac:dyDescent="0.25">
      <c r="A139" s="45" t="s">
        <v>16</v>
      </c>
      <c r="B139" s="46">
        <v>2018</v>
      </c>
      <c r="C139" s="47">
        <v>14</v>
      </c>
      <c r="D139" s="47">
        <v>62</v>
      </c>
      <c r="E139" s="47">
        <v>22</v>
      </c>
      <c r="F139" s="47">
        <v>361</v>
      </c>
      <c r="G139" s="49">
        <v>1456</v>
      </c>
      <c r="H139" s="49">
        <v>3019</v>
      </c>
      <c r="I139" s="49">
        <v>3598</v>
      </c>
      <c r="J139" s="49">
        <v>2955</v>
      </c>
      <c r="K139" s="49">
        <v>1688</v>
      </c>
      <c r="L139" s="49">
        <v>1317</v>
      </c>
      <c r="M139" s="47">
        <v>786</v>
      </c>
      <c r="N139" s="47">
        <v>130</v>
      </c>
      <c r="O139" s="48">
        <f t="shared" si="0"/>
        <v>15408</v>
      </c>
    </row>
    <row r="140" spans="1:15" x14ac:dyDescent="0.25">
      <c r="A140" s="45" t="s">
        <v>42</v>
      </c>
      <c r="B140" s="46">
        <v>2018</v>
      </c>
      <c r="C140" s="47">
        <v>0</v>
      </c>
      <c r="D140" s="47">
        <v>0</v>
      </c>
      <c r="E140" s="47">
        <v>0</v>
      </c>
      <c r="F140" s="47">
        <v>0</v>
      </c>
      <c r="G140" s="47">
        <v>1</v>
      </c>
      <c r="H140" s="47">
        <v>1</v>
      </c>
      <c r="I140" s="47">
        <v>1</v>
      </c>
      <c r="J140" s="47">
        <v>1</v>
      </c>
      <c r="K140" s="47">
        <v>1</v>
      </c>
      <c r="L140" s="47">
        <v>1</v>
      </c>
      <c r="M140" s="47">
        <v>0</v>
      </c>
      <c r="N140" s="47">
        <v>0</v>
      </c>
      <c r="O140" s="48">
        <f t="shared" si="0"/>
        <v>6</v>
      </c>
    </row>
    <row r="141" spans="1:15" x14ac:dyDescent="0.25">
      <c r="A141" s="45" t="s">
        <v>13</v>
      </c>
      <c r="B141" s="46">
        <v>2018</v>
      </c>
      <c r="C141" s="47">
        <v>2</v>
      </c>
      <c r="D141" s="47">
        <v>7</v>
      </c>
      <c r="E141" s="47">
        <v>2</v>
      </c>
      <c r="F141" s="47">
        <v>41</v>
      </c>
      <c r="G141" s="47">
        <v>164</v>
      </c>
      <c r="H141" s="47">
        <v>340</v>
      </c>
      <c r="I141" s="47">
        <v>404</v>
      </c>
      <c r="J141" s="47">
        <v>332</v>
      </c>
      <c r="K141" s="47">
        <v>190</v>
      </c>
      <c r="L141" s="47">
        <v>148</v>
      </c>
      <c r="M141" s="47">
        <v>89</v>
      </c>
      <c r="N141" s="47">
        <v>15</v>
      </c>
      <c r="O141" s="48">
        <f t="shared" si="0"/>
        <v>1734</v>
      </c>
    </row>
    <row r="142" spans="1:15" x14ac:dyDescent="0.25">
      <c r="A142" s="45" t="s">
        <v>9</v>
      </c>
      <c r="B142" s="46">
        <v>2018</v>
      </c>
      <c r="C142" s="47">
        <v>54</v>
      </c>
      <c r="D142" s="47">
        <v>227</v>
      </c>
      <c r="E142" s="47">
        <v>90</v>
      </c>
      <c r="F142" s="49">
        <v>1322</v>
      </c>
      <c r="G142" s="49">
        <v>5251</v>
      </c>
      <c r="H142" s="49">
        <v>10846</v>
      </c>
      <c r="I142" s="49">
        <v>12915</v>
      </c>
      <c r="J142" s="49">
        <v>10597</v>
      </c>
      <c r="K142" s="49">
        <v>6060</v>
      </c>
      <c r="L142" s="49">
        <v>4729</v>
      </c>
      <c r="M142" s="49">
        <v>2824</v>
      </c>
      <c r="N142" s="47">
        <v>470</v>
      </c>
      <c r="O142" s="48">
        <f t="shared" si="0"/>
        <v>55385</v>
      </c>
    </row>
    <row r="143" spans="1:15" x14ac:dyDescent="0.25">
      <c r="A143" s="45" t="s">
        <v>43</v>
      </c>
      <c r="B143" s="46">
        <v>2018</v>
      </c>
      <c r="C143" s="47">
        <v>0</v>
      </c>
      <c r="D143" s="47">
        <v>2</v>
      </c>
      <c r="E143" s="47">
        <v>1</v>
      </c>
      <c r="F143" s="47">
        <v>12</v>
      </c>
      <c r="G143" s="47">
        <v>48</v>
      </c>
      <c r="H143" s="47">
        <v>99</v>
      </c>
      <c r="I143" s="47">
        <v>118</v>
      </c>
      <c r="J143" s="47">
        <v>97</v>
      </c>
      <c r="K143" s="47">
        <v>55</v>
      </c>
      <c r="L143" s="47">
        <v>43</v>
      </c>
      <c r="M143" s="47">
        <v>26</v>
      </c>
      <c r="N143" s="47">
        <v>4</v>
      </c>
      <c r="O143" s="48">
        <f t="shared" si="0"/>
        <v>505</v>
      </c>
    </row>
    <row r="144" spans="1:15" x14ac:dyDescent="0.25">
      <c r="A144" s="45" t="s">
        <v>11</v>
      </c>
      <c r="B144" s="46">
        <v>2018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8">
        <f t="shared" si="0"/>
        <v>0</v>
      </c>
    </row>
    <row r="145" spans="1:15" x14ac:dyDescent="0.25">
      <c r="A145" s="45" t="s">
        <v>25</v>
      </c>
      <c r="B145" s="46">
        <v>2018</v>
      </c>
      <c r="C145" s="47">
        <v>0</v>
      </c>
      <c r="D145" s="47">
        <v>1</v>
      </c>
      <c r="E145" s="47">
        <v>0</v>
      </c>
      <c r="F145" s="47">
        <v>5</v>
      </c>
      <c r="G145" s="47">
        <v>20</v>
      </c>
      <c r="H145" s="47">
        <v>41</v>
      </c>
      <c r="I145" s="47">
        <v>48</v>
      </c>
      <c r="J145" s="47">
        <v>40</v>
      </c>
      <c r="K145" s="47">
        <v>23</v>
      </c>
      <c r="L145" s="47">
        <v>18</v>
      </c>
      <c r="M145" s="47">
        <v>11</v>
      </c>
      <c r="N145" s="47">
        <v>2</v>
      </c>
      <c r="O145" s="48">
        <f t="shared" si="0"/>
        <v>209</v>
      </c>
    </row>
    <row r="146" spans="1:15" x14ac:dyDescent="0.25">
      <c r="A146" s="45" t="s">
        <v>7</v>
      </c>
      <c r="B146" s="46">
        <v>2018</v>
      </c>
      <c r="C146" s="47">
        <v>13</v>
      </c>
      <c r="D146" s="47">
        <v>58</v>
      </c>
      <c r="E146" s="47">
        <v>21</v>
      </c>
      <c r="F146" s="47">
        <v>340</v>
      </c>
      <c r="G146" s="49">
        <v>1371</v>
      </c>
      <c r="H146" s="49">
        <v>2843</v>
      </c>
      <c r="I146" s="49">
        <v>3389</v>
      </c>
      <c r="J146" s="49">
        <v>2781</v>
      </c>
      <c r="K146" s="49">
        <v>1589</v>
      </c>
      <c r="L146" s="49">
        <v>1240</v>
      </c>
      <c r="M146" s="47">
        <v>741</v>
      </c>
      <c r="N146" s="47">
        <v>123</v>
      </c>
      <c r="O146" s="48">
        <f t="shared" si="0"/>
        <v>14509</v>
      </c>
    </row>
    <row r="147" spans="1:15" x14ac:dyDescent="0.25">
      <c r="A147" s="45" t="s">
        <v>12</v>
      </c>
      <c r="B147" s="46">
        <v>2018</v>
      </c>
      <c r="C147" s="47">
        <v>26</v>
      </c>
      <c r="D147" s="47">
        <v>85</v>
      </c>
      <c r="E147" s="47">
        <v>37</v>
      </c>
      <c r="F147" s="47">
        <v>476</v>
      </c>
      <c r="G147" s="49">
        <v>1870</v>
      </c>
      <c r="H147" s="49">
        <v>3844</v>
      </c>
      <c r="I147" s="49">
        <v>4588</v>
      </c>
      <c r="J147" s="49">
        <v>3762</v>
      </c>
      <c r="K147" s="49">
        <v>2147</v>
      </c>
      <c r="L147" s="49">
        <v>1694</v>
      </c>
      <c r="M147" s="49">
        <v>1026</v>
      </c>
      <c r="N147" s="47">
        <v>195</v>
      </c>
      <c r="O147" s="48">
        <f t="shared" si="0"/>
        <v>19750</v>
      </c>
    </row>
    <row r="148" spans="1:15" x14ac:dyDescent="0.25">
      <c r="A148" s="45" t="s">
        <v>14</v>
      </c>
      <c r="B148" s="46">
        <v>2018</v>
      </c>
      <c r="C148" s="47">
        <v>14</v>
      </c>
      <c r="D148" s="47">
        <v>61</v>
      </c>
      <c r="E148" s="47">
        <v>22</v>
      </c>
      <c r="F148" s="47">
        <v>354</v>
      </c>
      <c r="G148" s="49">
        <v>1474</v>
      </c>
      <c r="H148" s="49">
        <v>3242</v>
      </c>
      <c r="I148" s="49">
        <v>4092</v>
      </c>
      <c r="J148" s="49">
        <v>3163</v>
      </c>
      <c r="K148" s="49">
        <v>1739</v>
      </c>
      <c r="L148" s="49">
        <v>1332</v>
      </c>
      <c r="M148" s="47">
        <v>805</v>
      </c>
      <c r="N148" s="47">
        <v>143</v>
      </c>
      <c r="O148" s="48">
        <f t="shared" si="0"/>
        <v>16441</v>
      </c>
    </row>
    <row r="149" spans="1:15" x14ac:dyDescent="0.25">
      <c r="A149" s="45" t="s">
        <v>15</v>
      </c>
      <c r="B149" s="46">
        <v>2018</v>
      </c>
      <c r="C149" s="47">
        <v>46</v>
      </c>
      <c r="D149" s="47">
        <v>213</v>
      </c>
      <c r="E149" s="47">
        <v>68</v>
      </c>
      <c r="F149" s="49">
        <v>1523</v>
      </c>
      <c r="G149" s="49">
        <v>5649</v>
      </c>
      <c r="H149" s="49">
        <v>11343</v>
      </c>
      <c r="I149" s="49">
        <v>15137</v>
      </c>
      <c r="J149" s="49">
        <v>12907</v>
      </c>
      <c r="K149" s="49">
        <v>7636</v>
      </c>
      <c r="L149" s="49">
        <v>5318</v>
      </c>
      <c r="M149" s="49">
        <v>3094</v>
      </c>
      <c r="N149" s="47">
        <v>827</v>
      </c>
      <c r="O149" s="48">
        <f t="shared" si="0"/>
        <v>63761</v>
      </c>
    </row>
    <row r="150" spans="1:15" x14ac:dyDescent="0.25">
      <c r="A150" s="45" t="s">
        <v>19</v>
      </c>
      <c r="B150" s="46">
        <v>2018</v>
      </c>
      <c r="C150" s="47">
        <v>3</v>
      </c>
      <c r="D150" s="47">
        <v>14</v>
      </c>
      <c r="E150" s="47">
        <v>5</v>
      </c>
      <c r="F150" s="47">
        <v>84</v>
      </c>
      <c r="G150" s="47">
        <v>339</v>
      </c>
      <c r="H150" s="47">
        <v>704</v>
      </c>
      <c r="I150" s="47">
        <v>842</v>
      </c>
      <c r="J150" s="47">
        <v>689</v>
      </c>
      <c r="K150" s="47">
        <v>394</v>
      </c>
      <c r="L150" s="47">
        <v>307</v>
      </c>
      <c r="M150" s="47">
        <v>183</v>
      </c>
      <c r="N150" s="47">
        <v>30</v>
      </c>
      <c r="O150" s="48">
        <f t="shared" si="0"/>
        <v>3594</v>
      </c>
    </row>
    <row r="151" spans="1:15" x14ac:dyDescent="0.25">
      <c r="A151" s="45" t="s">
        <v>21</v>
      </c>
      <c r="B151" s="46">
        <v>2018</v>
      </c>
      <c r="C151" s="47">
        <v>1</v>
      </c>
      <c r="D151" s="47">
        <v>6</v>
      </c>
      <c r="E151" s="47">
        <v>2</v>
      </c>
      <c r="F151" s="47">
        <v>36</v>
      </c>
      <c r="G151" s="47">
        <v>147</v>
      </c>
      <c r="H151" s="47">
        <v>304</v>
      </c>
      <c r="I151" s="47">
        <v>363</v>
      </c>
      <c r="J151" s="47">
        <v>298</v>
      </c>
      <c r="K151" s="47">
        <v>170</v>
      </c>
      <c r="L151" s="47">
        <v>133</v>
      </c>
      <c r="M151" s="47">
        <v>79</v>
      </c>
      <c r="N151" s="47">
        <v>13</v>
      </c>
      <c r="O151" s="48">
        <f t="shared" si="0"/>
        <v>1552</v>
      </c>
    </row>
    <row r="152" spans="1:15" x14ac:dyDescent="0.25">
      <c r="A152" s="45" t="s">
        <v>20</v>
      </c>
      <c r="B152" s="46">
        <v>2018</v>
      </c>
      <c r="C152" s="47">
        <v>0</v>
      </c>
      <c r="D152" s="47">
        <v>2</v>
      </c>
      <c r="E152" s="47">
        <v>1</v>
      </c>
      <c r="F152" s="47">
        <v>9</v>
      </c>
      <c r="G152" s="47">
        <v>37</v>
      </c>
      <c r="H152" s="47">
        <v>76</v>
      </c>
      <c r="I152" s="47">
        <v>90</v>
      </c>
      <c r="J152" s="47">
        <v>74</v>
      </c>
      <c r="K152" s="47">
        <v>43</v>
      </c>
      <c r="L152" s="47">
        <v>33</v>
      </c>
      <c r="M152" s="47">
        <v>20</v>
      </c>
      <c r="N152" s="47">
        <v>3</v>
      </c>
      <c r="O152" s="48">
        <f t="shared" si="0"/>
        <v>388</v>
      </c>
    </row>
    <row r="153" spans="1:15" x14ac:dyDescent="0.25">
      <c r="A153" s="45" t="s">
        <v>22</v>
      </c>
      <c r="B153" s="46">
        <v>2018</v>
      </c>
      <c r="C153" s="47">
        <v>0</v>
      </c>
      <c r="D153" s="47">
        <v>1</v>
      </c>
      <c r="E153" s="47">
        <v>0</v>
      </c>
      <c r="F153" s="47">
        <v>6</v>
      </c>
      <c r="G153" s="47">
        <v>25</v>
      </c>
      <c r="H153" s="47">
        <v>51</v>
      </c>
      <c r="I153" s="47">
        <v>62</v>
      </c>
      <c r="J153" s="47">
        <v>50</v>
      </c>
      <c r="K153" s="47">
        <v>28</v>
      </c>
      <c r="L153" s="47">
        <v>22</v>
      </c>
      <c r="M153" s="47">
        <v>13</v>
      </c>
      <c r="N153" s="47">
        <v>2</v>
      </c>
      <c r="O153" s="48">
        <f t="shared" si="0"/>
        <v>260</v>
      </c>
    </row>
    <row r="154" spans="1:15" x14ac:dyDescent="0.25">
      <c r="A154" s="45" t="s">
        <v>23</v>
      </c>
      <c r="B154" s="46">
        <v>2018</v>
      </c>
      <c r="C154" s="47">
        <v>0</v>
      </c>
      <c r="D154" s="47">
        <v>1</v>
      </c>
      <c r="E154" s="47">
        <v>0</v>
      </c>
      <c r="F154" s="47">
        <v>6</v>
      </c>
      <c r="G154" s="47">
        <v>24</v>
      </c>
      <c r="H154" s="47">
        <v>50</v>
      </c>
      <c r="I154" s="47">
        <v>59</v>
      </c>
      <c r="J154" s="47">
        <v>48</v>
      </c>
      <c r="K154" s="47">
        <v>28</v>
      </c>
      <c r="L154" s="47">
        <v>22</v>
      </c>
      <c r="M154" s="47">
        <v>13</v>
      </c>
      <c r="N154" s="47">
        <v>2</v>
      </c>
      <c r="O154" s="48">
        <f t="shared" si="0"/>
        <v>253</v>
      </c>
    </row>
    <row r="155" spans="1:15" x14ac:dyDescent="0.25">
      <c r="A155" s="45" t="s">
        <v>6</v>
      </c>
      <c r="B155" s="46">
        <v>2018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8">
        <f t="shared" si="0"/>
        <v>0</v>
      </c>
    </row>
    <row r="156" spans="1:15" x14ac:dyDescent="0.25">
      <c r="A156" s="45" t="s">
        <v>10</v>
      </c>
      <c r="B156" s="46">
        <v>2018</v>
      </c>
      <c r="C156" s="47">
        <v>97</v>
      </c>
      <c r="D156" s="47">
        <v>429</v>
      </c>
      <c r="E156" s="47">
        <v>154</v>
      </c>
      <c r="F156" s="49">
        <v>2499</v>
      </c>
      <c r="G156" s="49">
        <v>10083</v>
      </c>
      <c r="H156" s="49">
        <v>20918</v>
      </c>
      <c r="I156" s="49">
        <v>24934</v>
      </c>
      <c r="J156" s="49">
        <v>20462</v>
      </c>
      <c r="K156" s="49">
        <v>11693</v>
      </c>
      <c r="L156" s="49">
        <v>9126</v>
      </c>
      <c r="M156" s="49">
        <v>5449</v>
      </c>
      <c r="N156" s="47">
        <v>902</v>
      </c>
      <c r="O156" s="48">
        <f t="shared" si="0"/>
        <v>106746</v>
      </c>
    </row>
    <row r="157" spans="1:15" x14ac:dyDescent="0.25">
      <c r="A157" s="45" t="s">
        <v>30</v>
      </c>
      <c r="B157" s="46">
        <v>2018</v>
      </c>
      <c r="C157" s="47">
        <v>0</v>
      </c>
      <c r="D157" s="47">
        <v>2</v>
      </c>
      <c r="E157" s="47">
        <v>1</v>
      </c>
      <c r="F157" s="47">
        <v>10</v>
      </c>
      <c r="G157" s="47">
        <v>42</v>
      </c>
      <c r="H157" s="47">
        <v>87</v>
      </c>
      <c r="I157" s="47">
        <v>105</v>
      </c>
      <c r="J157" s="47">
        <v>85</v>
      </c>
      <c r="K157" s="47">
        <v>49</v>
      </c>
      <c r="L157" s="47">
        <v>38</v>
      </c>
      <c r="M157" s="47">
        <v>23</v>
      </c>
      <c r="N157" s="47">
        <v>4</v>
      </c>
      <c r="O157" s="48">
        <f t="shared" si="0"/>
        <v>446</v>
      </c>
    </row>
    <row r="158" spans="1:15" x14ac:dyDescent="0.25">
      <c r="A158" s="45" t="s">
        <v>31</v>
      </c>
      <c r="B158" s="46">
        <v>2018</v>
      </c>
      <c r="C158" s="47">
        <v>0</v>
      </c>
      <c r="D158" s="47">
        <v>1</v>
      </c>
      <c r="E158" s="47">
        <v>0</v>
      </c>
      <c r="F158" s="47">
        <v>3</v>
      </c>
      <c r="G158" s="47">
        <v>12</v>
      </c>
      <c r="H158" s="47">
        <v>25</v>
      </c>
      <c r="I158" s="47">
        <v>31</v>
      </c>
      <c r="J158" s="47">
        <v>25</v>
      </c>
      <c r="K158" s="47">
        <v>14</v>
      </c>
      <c r="L158" s="47">
        <v>11</v>
      </c>
      <c r="M158" s="47">
        <v>7</v>
      </c>
      <c r="N158" s="47">
        <v>1</v>
      </c>
      <c r="O158" s="48">
        <f t="shared" si="0"/>
        <v>130</v>
      </c>
    </row>
    <row r="159" spans="1:15" x14ac:dyDescent="0.25">
      <c r="A159" s="45" t="s">
        <v>17</v>
      </c>
      <c r="B159" s="46">
        <v>2018</v>
      </c>
      <c r="C159" s="47">
        <v>5</v>
      </c>
      <c r="D159" s="47">
        <v>20</v>
      </c>
      <c r="E159" s="47">
        <v>7</v>
      </c>
      <c r="F159" s="47">
        <v>116</v>
      </c>
      <c r="G159" s="47">
        <v>469</v>
      </c>
      <c r="H159" s="47">
        <v>973</v>
      </c>
      <c r="I159" s="49">
        <v>1160</v>
      </c>
      <c r="J159" s="47">
        <v>952</v>
      </c>
      <c r="K159" s="47">
        <v>544</v>
      </c>
      <c r="L159" s="47">
        <v>432</v>
      </c>
      <c r="M159" s="47">
        <v>264</v>
      </c>
      <c r="N159" s="47">
        <v>45</v>
      </c>
      <c r="O159" s="48">
        <f t="shared" si="0"/>
        <v>4987</v>
      </c>
    </row>
    <row r="160" spans="1:15" x14ac:dyDescent="0.25">
      <c r="A160" s="45" t="s">
        <v>18</v>
      </c>
      <c r="B160" s="46">
        <v>2018</v>
      </c>
      <c r="C160" s="47">
        <v>20</v>
      </c>
      <c r="D160" s="47">
        <v>89</v>
      </c>
      <c r="E160" s="47">
        <v>32</v>
      </c>
      <c r="F160" s="47">
        <v>517</v>
      </c>
      <c r="G160" s="49">
        <v>2087</v>
      </c>
      <c r="H160" s="49">
        <v>4329</v>
      </c>
      <c r="I160" s="49">
        <v>5163</v>
      </c>
      <c r="J160" s="49">
        <v>4236</v>
      </c>
      <c r="K160" s="49">
        <v>2421</v>
      </c>
      <c r="L160" s="49">
        <v>1891</v>
      </c>
      <c r="M160" s="49">
        <v>1128</v>
      </c>
      <c r="N160" s="47">
        <v>187</v>
      </c>
      <c r="O160" s="48">
        <f t="shared" si="0"/>
        <v>22100</v>
      </c>
    </row>
    <row r="161" spans="1:15" x14ac:dyDescent="0.25">
      <c r="A161" s="45" t="s">
        <v>32</v>
      </c>
      <c r="B161" s="46">
        <v>2018</v>
      </c>
      <c r="C161" s="47">
        <v>2</v>
      </c>
      <c r="D161" s="47">
        <v>10</v>
      </c>
      <c r="E161" s="47">
        <v>4</v>
      </c>
      <c r="F161" s="47">
        <v>59</v>
      </c>
      <c r="G161" s="47">
        <v>237</v>
      </c>
      <c r="H161" s="47">
        <v>491</v>
      </c>
      <c r="I161" s="47">
        <v>585</v>
      </c>
      <c r="J161" s="47">
        <v>480</v>
      </c>
      <c r="K161" s="47">
        <v>274</v>
      </c>
      <c r="L161" s="47">
        <v>214</v>
      </c>
      <c r="M161" s="47">
        <v>128</v>
      </c>
      <c r="N161" s="47">
        <v>21</v>
      </c>
      <c r="O161" s="48">
        <f t="shared" si="0"/>
        <v>2505</v>
      </c>
    </row>
    <row r="162" spans="1:15" x14ac:dyDescent="0.25">
      <c r="A162" s="45" t="s">
        <v>33</v>
      </c>
      <c r="B162" s="46">
        <v>2018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1</v>
      </c>
      <c r="J162" s="47">
        <v>0</v>
      </c>
      <c r="K162" s="47">
        <v>0</v>
      </c>
      <c r="L162" s="47">
        <v>0</v>
      </c>
      <c r="M162" s="47">
        <v>0</v>
      </c>
      <c r="N162" s="47">
        <v>0</v>
      </c>
      <c r="O162" s="48">
        <f t="shared" si="0"/>
        <v>1</v>
      </c>
    </row>
    <row r="163" spans="1:15" x14ac:dyDescent="0.25">
      <c r="A163" s="45" t="s">
        <v>5</v>
      </c>
      <c r="B163" s="46">
        <v>2018</v>
      </c>
      <c r="C163" s="47">
        <v>3</v>
      </c>
      <c r="D163" s="47">
        <v>12</v>
      </c>
      <c r="E163" s="47">
        <v>4</v>
      </c>
      <c r="F163" s="47">
        <v>70</v>
      </c>
      <c r="G163" s="47">
        <v>284</v>
      </c>
      <c r="H163" s="47">
        <v>589</v>
      </c>
      <c r="I163" s="47">
        <v>703</v>
      </c>
      <c r="J163" s="47">
        <v>577</v>
      </c>
      <c r="K163" s="47">
        <v>330</v>
      </c>
      <c r="L163" s="47">
        <v>257</v>
      </c>
      <c r="M163" s="47">
        <v>154</v>
      </c>
      <c r="N163" s="47">
        <v>25</v>
      </c>
      <c r="O163" s="48">
        <f t="shared" si="0"/>
        <v>3008</v>
      </c>
    </row>
    <row r="164" spans="1:15" x14ac:dyDescent="0.25">
      <c r="A164" s="45" t="s">
        <v>28</v>
      </c>
      <c r="B164" s="46">
        <v>2018</v>
      </c>
      <c r="C164" s="47">
        <v>3</v>
      </c>
      <c r="D164" s="47">
        <v>14</v>
      </c>
      <c r="E164" s="47">
        <v>5</v>
      </c>
      <c r="F164" s="47">
        <v>81</v>
      </c>
      <c r="G164" s="47">
        <v>325</v>
      </c>
      <c r="H164" s="47">
        <v>675</v>
      </c>
      <c r="I164" s="47">
        <v>805</v>
      </c>
      <c r="J164" s="47">
        <v>660</v>
      </c>
      <c r="K164" s="47">
        <v>377</v>
      </c>
      <c r="L164" s="47">
        <v>294</v>
      </c>
      <c r="M164" s="47">
        <v>176</v>
      </c>
      <c r="N164" s="47">
        <v>29</v>
      </c>
      <c r="O164" s="48">
        <f t="shared" si="0"/>
        <v>3444</v>
      </c>
    </row>
    <row r="165" spans="1:15" x14ac:dyDescent="0.25">
      <c r="A165" s="45" t="s">
        <v>27</v>
      </c>
      <c r="B165" s="46">
        <v>2018</v>
      </c>
      <c r="C165" s="47">
        <v>29</v>
      </c>
      <c r="D165" s="47">
        <v>128</v>
      </c>
      <c r="E165" s="47">
        <v>46</v>
      </c>
      <c r="F165" s="47">
        <v>785</v>
      </c>
      <c r="G165" s="49">
        <v>3210</v>
      </c>
      <c r="H165" s="49">
        <v>6504</v>
      </c>
      <c r="I165" s="49">
        <v>7717</v>
      </c>
      <c r="J165" s="49">
        <v>6208</v>
      </c>
      <c r="K165" s="49">
        <v>3551</v>
      </c>
      <c r="L165" s="49">
        <v>2777</v>
      </c>
      <c r="M165" s="49">
        <v>1664</v>
      </c>
      <c r="N165" s="47">
        <v>289</v>
      </c>
      <c r="O165" s="48">
        <f t="shared" si="0"/>
        <v>32908</v>
      </c>
    </row>
    <row r="166" spans="1:15" x14ac:dyDescent="0.25">
      <c r="A166" s="45" t="s">
        <v>26</v>
      </c>
      <c r="B166" s="46">
        <v>2018</v>
      </c>
      <c r="C166" s="47">
        <v>3</v>
      </c>
      <c r="D166" s="47">
        <v>12</v>
      </c>
      <c r="E166" s="47">
        <v>4</v>
      </c>
      <c r="F166" s="47">
        <v>67</v>
      </c>
      <c r="G166" s="47">
        <v>272</v>
      </c>
      <c r="H166" s="47">
        <v>563</v>
      </c>
      <c r="I166" s="47">
        <v>671</v>
      </c>
      <c r="J166" s="47">
        <v>551</v>
      </c>
      <c r="K166" s="47">
        <v>315</v>
      </c>
      <c r="L166" s="47">
        <v>246</v>
      </c>
      <c r="M166" s="47">
        <v>147</v>
      </c>
      <c r="N166" s="47">
        <v>24</v>
      </c>
      <c r="O166" s="48">
        <f t="shared" si="0"/>
        <v>2875</v>
      </c>
    </row>
    <row r="167" spans="1:15" x14ac:dyDescent="0.25">
      <c r="A167" s="45" t="s">
        <v>29</v>
      </c>
      <c r="B167" s="46">
        <v>2018</v>
      </c>
      <c r="C167" s="47">
        <v>2</v>
      </c>
      <c r="D167" s="47">
        <v>11</v>
      </c>
      <c r="E167" s="47">
        <v>4</v>
      </c>
      <c r="F167" s="47">
        <v>63</v>
      </c>
      <c r="G167" s="47">
        <v>253</v>
      </c>
      <c r="H167" s="47">
        <v>524</v>
      </c>
      <c r="I167" s="47">
        <v>623</v>
      </c>
      <c r="J167" s="47">
        <v>513</v>
      </c>
      <c r="K167" s="47">
        <v>293</v>
      </c>
      <c r="L167" s="47">
        <v>229</v>
      </c>
      <c r="M167" s="47">
        <v>137</v>
      </c>
      <c r="N167" s="47">
        <v>23</v>
      </c>
      <c r="O167" s="48">
        <f t="shared" si="0"/>
        <v>2675</v>
      </c>
    </row>
    <row r="168" spans="1:15" x14ac:dyDescent="0.25">
      <c r="A168" s="45" t="s">
        <v>24</v>
      </c>
      <c r="B168" s="46">
        <v>2018</v>
      </c>
      <c r="C168" s="47">
        <v>4</v>
      </c>
      <c r="D168" s="47">
        <v>16</v>
      </c>
      <c r="E168" s="47">
        <v>6</v>
      </c>
      <c r="F168" s="47">
        <v>94</v>
      </c>
      <c r="G168" s="47">
        <v>380</v>
      </c>
      <c r="H168" s="47">
        <v>789</v>
      </c>
      <c r="I168" s="47">
        <v>942</v>
      </c>
      <c r="J168" s="47">
        <v>772</v>
      </c>
      <c r="K168" s="47">
        <v>441</v>
      </c>
      <c r="L168" s="47">
        <v>344</v>
      </c>
      <c r="M168" s="47">
        <v>206</v>
      </c>
      <c r="N168" s="47">
        <v>34</v>
      </c>
      <c r="O168" s="48">
        <f t="shared" si="0"/>
        <v>4028</v>
      </c>
    </row>
    <row r="169" spans="1:15" x14ac:dyDescent="0.25">
      <c r="A169" s="45" t="s">
        <v>4</v>
      </c>
      <c r="B169" s="46">
        <v>2018</v>
      </c>
      <c r="C169" s="47">
        <v>17</v>
      </c>
      <c r="D169" s="47">
        <v>73</v>
      </c>
      <c r="E169" s="47">
        <v>26</v>
      </c>
      <c r="F169" s="47">
        <v>425</v>
      </c>
      <c r="G169" s="49">
        <v>1715</v>
      </c>
      <c r="H169" s="49">
        <v>3558</v>
      </c>
      <c r="I169" s="49">
        <v>4240</v>
      </c>
      <c r="J169" s="49">
        <v>3480</v>
      </c>
      <c r="K169" s="49">
        <v>1989</v>
      </c>
      <c r="L169" s="49">
        <v>1552</v>
      </c>
      <c r="M169" s="47">
        <v>927</v>
      </c>
      <c r="N169" s="47">
        <v>153</v>
      </c>
      <c r="O169" s="48">
        <f t="shared" si="0"/>
        <v>18155</v>
      </c>
    </row>
    <row r="170" spans="1:15" x14ac:dyDescent="0.25">
      <c r="A170" s="45" t="s">
        <v>8</v>
      </c>
      <c r="B170" s="46">
        <v>2018</v>
      </c>
      <c r="C170" s="47">
        <v>168</v>
      </c>
      <c r="D170" s="47">
        <v>740</v>
      </c>
      <c r="E170" s="47">
        <v>265</v>
      </c>
      <c r="F170" s="49">
        <v>4311</v>
      </c>
      <c r="G170" s="49">
        <v>17397</v>
      </c>
      <c r="H170" s="49">
        <v>36090</v>
      </c>
      <c r="I170" s="49">
        <v>43017</v>
      </c>
      <c r="J170" s="49">
        <v>35304</v>
      </c>
      <c r="K170" s="49">
        <v>20174</v>
      </c>
      <c r="L170" s="49">
        <v>15745</v>
      </c>
      <c r="M170" s="49">
        <v>9401</v>
      </c>
      <c r="N170" s="49">
        <v>1556</v>
      </c>
      <c r="O170" s="48">
        <f t="shared" si="0"/>
        <v>184168</v>
      </c>
    </row>
    <row r="171" spans="1:15" x14ac:dyDescent="0.25">
      <c r="A171" s="45" t="s">
        <v>3</v>
      </c>
      <c r="B171" s="46">
        <v>2018</v>
      </c>
      <c r="C171" s="47">
        <v>61</v>
      </c>
      <c r="D171" s="47">
        <v>270</v>
      </c>
      <c r="E171" s="47">
        <v>97</v>
      </c>
      <c r="F171" s="49">
        <v>1572</v>
      </c>
      <c r="G171" s="49">
        <v>6346</v>
      </c>
      <c r="H171" s="49">
        <v>13164</v>
      </c>
      <c r="I171" s="49">
        <v>15693</v>
      </c>
      <c r="J171" s="49">
        <v>12878</v>
      </c>
      <c r="K171" s="49">
        <v>7359</v>
      </c>
      <c r="L171" s="49">
        <v>5743</v>
      </c>
      <c r="M171" s="49">
        <v>3429</v>
      </c>
      <c r="N171" s="47">
        <v>567</v>
      </c>
      <c r="O171" s="48">
        <f t="shared" si="0"/>
        <v>67179</v>
      </c>
    </row>
    <row r="172" spans="1:15" x14ac:dyDescent="0.25">
      <c r="A172" s="45" t="s">
        <v>2</v>
      </c>
      <c r="B172" s="46">
        <v>2017</v>
      </c>
      <c r="C172" s="47">
        <v>100</v>
      </c>
      <c r="D172" s="47">
        <v>50</v>
      </c>
      <c r="E172" s="47">
        <v>75</v>
      </c>
      <c r="F172" s="49">
        <v>4335</v>
      </c>
      <c r="G172" s="50">
        <v>3786</v>
      </c>
      <c r="H172" s="49">
        <v>7075</v>
      </c>
      <c r="I172" s="49">
        <v>11260</v>
      </c>
      <c r="J172" s="49">
        <v>13901</v>
      </c>
      <c r="K172" s="49">
        <v>11310</v>
      </c>
      <c r="L172" s="49">
        <v>10687</v>
      </c>
      <c r="M172" s="50">
        <v>4658</v>
      </c>
      <c r="N172" s="50">
        <v>1270</v>
      </c>
      <c r="O172" s="48">
        <f t="shared" si="0"/>
        <v>68507</v>
      </c>
    </row>
    <row r="173" spans="1:15" x14ac:dyDescent="0.25">
      <c r="A173" s="45" t="s">
        <v>16</v>
      </c>
      <c r="B173" s="46">
        <v>2017</v>
      </c>
      <c r="C173" s="48">
        <v>25</v>
      </c>
      <c r="D173" s="48">
        <v>13</v>
      </c>
      <c r="E173" s="48">
        <v>19</v>
      </c>
      <c r="F173" s="50">
        <v>1095</v>
      </c>
      <c r="G173" s="48">
        <v>958</v>
      </c>
      <c r="H173" s="50">
        <v>1790</v>
      </c>
      <c r="I173" s="50">
        <v>2846</v>
      </c>
      <c r="J173" s="50">
        <v>3513</v>
      </c>
      <c r="K173" s="50">
        <v>2860</v>
      </c>
      <c r="L173" s="50">
        <v>2702</v>
      </c>
      <c r="M173" s="50">
        <v>1177</v>
      </c>
      <c r="N173" s="48">
        <v>321</v>
      </c>
      <c r="O173" s="48">
        <f t="shared" si="0"/>
        <v>17319</v>
      </c>
    </row>
    <row r="174" spans="1:15" x14ac:dyDescent="0.25">
      <c r="A174" s="45" t="s">
        <v>42</v>
      </c>
      <c r="B174" s="46">
        <v>2017</v>
      </c>
      <c r="C174" s="47">
        <v>0</v>
      </c>
      <c r="D174" s="47">
        <v>0</v>
      </c>
      <c r="E174" s="47">
        <v>0</v>
      </c>
      <c r="F174" s="47">
        <v>0</v>
      </c>
      <c r="G174" s="52">
        <v>0</v>
      </c>
      <c r="H174" s="47">
        <v>0</v>
      </c>
      <c r="I174" s="47">
        <v>0</v>
      </c>
      <c r="J174" s="47">
        <v>1</v>
      </c>
      <c r="K174" s="47">
        <v>0</v>
      </c>
      <c r="L174" s="47">
        <v>1</v>
      </c>
      <c r="M174" s="48">
        <v>1</v>
      </c>
      <c r="N174" s="52">
        <v>0</v>
      </c>
      <c r="O174" s="48">
        <f t="shared" si="0"/>
        <v>3</v>
      </c>
    </row>
    <row r="175" spans="1:15" x14ac:dyDescent="0.25">
      <c r="A175" s="45" t="s">
        <v>13</v>
      </c>
      <c r="B175" s="46">
        <v>2017</v>
      </c>
      <c r="C175" s="47">
        <v>3</v>
      </c>
      <c r="D175" s="47">
        <v>1</v>
      </c>
      <c r="E175" s="47">
        <v>2</v>
      </c>
      <c r="F175" s="47">
        <v>119</v>
      </c>
      <c r="G175" s="48">
        <v>104</v>
      </c>
      <c r="H175" s="47">
        <v>194</v>
      </c>
      <c r="I175" s="47">
        <v>308</v>
      </c>
      <c r="J175" s="47">
        <v>380</v>
      </c>
      <c r="K175" s="47">
        <v>309</v>
      </c>
      <c r="L175" s="47">
        <v>292</v>
      </c>
      <c r="M175" s="48">
        <v>127</v>
      </c>
      <c r="N175" s="48">
        <v>35</v>
      </c>
      <c r="O175" s="48">
        <f t="shared" si="0"/>
        <v>1874</v>
      </c>
    </row>
    <row r="176" spans="1:15" x14ac:dyDescent="0.25">
      <c r="A176" s="45" t="s">
        <v>9</v>
      </c>
      <c r="B176" s="46">
        <v>2017</v>
      </c>
      <c r="C176" s="47">
        <v>87</v>
      </c>
      <c r="D176" s="47">
        <v>44</v>
      </c>
      <c r="E176" s="47">
        <v>66</v>
      </c>
      <c r="F176" s="49">
        <v>3763</v>
      </c>
      <c r="G176" s="50">
        <v>3293</v>
      </c>
      <c r="H176" s="49">
        <v>6152</v>
      </c>
      <c r="I176" s="49">
        <v>9775</v>
      </c>
      <c r="J176" s="49">
        <v>12062</v>
      </c>
      <c r="K176" s="49">
        <v>9813</v>
      </c>
      <c r="L176" s="49">
        <v>9274</v>
      </c>
      <c r="M176" s="50">
        <v>4044</v>
      </c>
      <c r="N176" s="50">
        <v>1103</v>
      </c>
      <c r="O176" s="48">
        <f t="shared" si="0"/>
        <v>59476</v>
      </c>
    </row>
    <row r="177" spans="1:15" x14ac:dyDescent="0.25">
      <c r="A177" s="45" t="s">
        <v>44</v>
      </c>
      <c r="B177" s="46">
        <v>2017</v>
      </c>
      <c r="C177" s="48">
        <v>1</v>
      </c>
      <c r="D177" s="52">
        <v>0</v>
      </c>
      <c r="E177" s="48">
        <v>1</v>
      </c>
      <c r="F177" s="48">
        <v>31</v>
      </c>
      <c r="G177" s="48">
        <v>27</v>
      </c>
      <c r="H177" s="48">
        <v>50</v>
      </c>
      <c r="I177" s="48">
        <v>80</v>
      </c>
      <c r="J177" s="48">
        <v>98</v>
      </c>
      <c r="K177" s="48">
        <v>80</v>
      </c>
      <c r="L177" s="48">
        <v>76</v>
      </c>
      <c r="M177" s="48">
        <v>33</v>
      </c>
      <c r="N177" s="48">
        <v>8</v>
      </c>
      <c r="O177" s="48">
        <f t="shared" si="0"/>
        <v>485</v>
      </c>
    </row>
    <row r="178" spans="1:15" x14ac:dyDescent="0.25">
      <c r="A178" s="45" t="s">
        <v>11</v>
      </c>
      <c r="B178" s="46">
        <v>2017</v>
      </c>
      <c r="C178" s="52">
        <v>0</v>
      </c>
      <c r="D178" s="52">
        <v>0</v>
      </c>
      <c r="E178" s="52">
        <v>0</v>
      </c>
      <c r="F178" s="52">
        <v>0</v>
      </c>
      <c r="G178" s="52">
        <v>0</v>
      </c>
      <c r="H178" s="52">
        <v>0</v>
      </c>
      <c r="I178" s="52">
        <v>0</v>
      </c>
      <c r="J178" s="52">
        <v>0</v>
      </c>
      <c r="K178" s="52">
        <v>0</v>
      </c>
      <c r="L178" s="52">
        <v>0</v>
      </c>
      <c r="M178" s="52">
        <v>0</v>
      </c>
      <c r="N178" s="52">
        <v>0</v>
      </c>
      <c r="O178" s="48">
        <f t="shared" si="0"/>
        <v>0</v>
      </c>
    </row>
    <row r="179" spans="1:15" x14ac:dyDescent="0.25">
      <c r="A179" s="45" t="s">
        <v>25</v>
      </c>
      <c r="B179" s="46">
        <v>2017</v>
      </c>
      <c r="C179" s="52">
        <v>0</v>
      </c>
      <c r="D179" s="47">
        <v>1</v>
      </c>
      <c r="E179" s="47">
        <v>0</v>
      </c>
      <c r="F179" s="47">
        <v>12</v>
      </c>
      <c r="G179" s="48">
        <v>11</v>
      </c>
      <c r="H179" s="48">
        <v>20</v>
      </c>
      <c r="I179" s="48">
        <v>32</v>
      </c>
      <c r="J179" s="47">
        <v>40</v>
      </c>
      <c r="K179" s="47">
        <v>32</v>
      </c>
      <c r="L179" s="47">
        <v>31</v>
      </c>
      <c r="M179" s="48">
        <v>13</v>
      </c>
      <c r="N179" s="48">
        <v>4</v>
      </c>
      <c r="O179" s="48">
        <f t="shared" si="0"/>
        <v>196</v>
      </c>
    </row>
    <row r="180" spans="1:15" x14ac:dyDescent="0.25">
      <c r="A180" s="45" t="s">
        <v>7</v>
      </c>
      <c r="B180" s="46">
        <v>2017</v>
      </c>
      <c r="C180" s="47">
        <v>20</v>
      </c>
      <c r="D180" s="47">
        <v>10</v>
      </c>
      <c r="E180" s="47">
        <v>15</v>
      </c>
      <c r="F180" s="47">
        <v>888</v>
      </c>
      <c r="G180" s="48">
        <v>776</v>
      </c>
      <c r="H180" s="49">
        <v>1449</v>
      </c>
      <c r="I180" s="49">
        <v>2307</v>
      </c>
      <c r="J180" s="49">
        <v>2849</v>
      </c>
      <c r="K180" s="49">
        <v>2317</v>
      </c>
      <c r="L180" s="49">
        <v>2189</v>
      </c>
      <c r="M180" s="48">
        <v>954</v>
      </c>
      <c r="N180" s="48">
        <v>260</v>
      </c>
      <c r="O180" s="48">
        <f t="shared" si="0"/>
        <v>14034</v>
      </c>
    </row>
    <row r="181" spans="1:15" x14ac:dyDescent="0.25">
      <c r="A181" s="45" t="s">
        <v>12</v>
      </c>
      <c r="B181" s="46">
        <v>2017</v>
      </c>
      <c r="C181" s="47">
        <v>24</v>
      </c>
      <c r="D181" s="47">
        <v>16</v>
      </c>
      <c r="E181" s="47">
        <v>22</v>
      </c>
      <c r="F181" s="49">
        <v>1061</v>
      </c>
      <c r="G181" s="48">
        <v>927</v>
      </c>
      <c r="H181" s="49">
        <v>1729</v>
      </c>
      <c r="I181" s="49">
        <v>2754</v>
      </c>
      <c r="J181" s="49">
        <v>3398</v>
      </c>
      <c r="K181" s="49">
        <v>2766</v>
      </c>
      <c r="L181" s="49">
        <v>2606</v>
      </c>
      <c r="M181" s="50">
        <v>1140</v>
      </c>
      <c r="N181" s="48">
        <v>310</v>
      </c>
      <c r="O181" s="48">
        <f t="shared" si="0"/>
        <v>16753</v>
      </c>
    </row>
    <row r="182" spans="1:15" x14ac:dyDescent="0.25">
      <c r="A182" s="45" t="s">
        <v>14</v>
      </c>
      <c r="B182" s="46">
        <v>2017</v>
      </c>
      <c r="C182" s="48">
        <v>30</v>
      </c>
      <c r="D182" s="48">
        <v>13</v>
      </c>
      <c r="E182" s="48">
        <v>24</v>
      </c>
      <c r="F182" s="50">
        <v>1084</v>
      </c>
      <c r="G182" s="48">
        <v>947</v>
      </c>
      <c r="H182" s="50">
        <v>1774</v>
      </c>
      <c r="I182" s="50">
        <v>2930</v>
      </c>
      <c r="J182" s="50">
        <v>3692</v>
      </c>
      <c r="K182" s="50">
        <v>2938</v>
      </c>
      <c r="L182" s="50">
        <v>2747</v>
      </c>
      <c r="M182" s="50">
        <v>1269</v>
      </c>
      <c r="N182" s="48">
        <v>325</v>
      </c>
      <c r="O182" s="48">
        <f t="shared" si="0"/>
        <v>17773</v>
      </c>
    </row>
    <row r="183" spans="1:15" x14ac:dyDescent="0.25">
      <c r="A183" s="45" t="s">
        <v>15</v>
      </c>
      <c r="B183" s="46">
        <v>2017</v>
      </c>
      <c r="C183" s="48">
        <v>57</v>
      </c>
      <c r="D183" s="48">
        <v>30</v>
      </c>
      <c r="E183" s="48">
        <v>44</v>
      </c>
      <c r="F183" s="50">
        <v>3426</v>
      </c>
      <c r="G183" s="50">
        <v>4034</v>
      </c>
      <c r="H183" s="50">
        <v>7261</v>
      </c>
      <c r="I183" s="50">
        <v>10374</v>
      </c>
      <c r="J183" s="50">
        <v>12150</v>
      </c>
      <c r="K183" s="50">
        <v>10777</v>
      </c>
      <c r="L183" s="50">
        <v>10131</v>
      </c>
      <c r="M183" s="50">
        <v>5158</v>
      </c>
      <c r="N183" s="50">
        <v>1443</v>
      </c>
      <c r="O183" s="48">
        <f t="shared" si="0"/>
        <v>64885</v>
      </c>
    </row>
    <row r="184" spans="1:15" x14ac:dyDescent="0.25">
      <c r="A184" s="45" t="s">
        <v>19</v>
      </c>
      <c r="B184" s="46">
        <v>2017</v>
      </c>
      <c r="C184" s="47">
        <v>6</v>
      </c>
      <c r="D184" s="47">
        <v>3</v>
      </c>
      <c r="E184" s="47">
        <v>5</v>
      </c>
      <c r="F184" s="47">
        <v>248</v>
      </c>
      <c r="G184" s="48">
        <v>217</v>
      </c>
      <c r="H184" s="47">
        <v>405</v>
      </c>
      <c r="I184" s="47">
        <v>645</v>
      </c>
      <c r="J184" s="47">
        <v>796</v>
      </c>
      <c r="K184" s="47">
        <v>648</v>
      </c>
      <c r="L184" s="47">
        <v>612</v>
      </c>
      <c r="M184" s="48">
        <v>267</v>
      </c>
      <c r="N184" s="48">
        <v>73</v>
      </c>
      <c r="O184" s="48">
        <f t="shared" si="0"/>
        <v>3925</v>
      </c>
    </row>
    <row r="185" spans="1:15" x14ac:dyDescent="0.25">
      <c r="A185" s="45" t="s">
        <v>21</v>
      </c>
      <c r="B185" s="46">
        <v>2017</v>
      </c>
      <c r="C185" s="47">
        <v>3</v>
      </c>
      <c r="D185" s="47">
        <v>1</v>
      </c>
      <c r="E185" s="47">
        <v>4</v>
      </c>
      <c r="F185" s="47">
        <v>129</v>
      </c>
      <c r="G185" s="48">
        <v>112</v>
      </c>
      <c r="H185" s="47">
        <v>210</v>
      </c>
      <c r="I185" s="47">
        <v>334</v>
      </c>
      <c r="J185" s="47">
        <v>413</v>
      </c>
      <c r="K185" s="47">
        <v>336</v>
      </c>
      <c r="L185" s="47">
        <v>317</v>
      </c>
      <c r="M185" s="48">
        <v>138</v>
      </c>
      <c r="N185" s="48">
        <v>38</v>
      </c>
      <c r="O185" s="48">
        <f t="shared" si="0"/>
        <v>2035</v>
      </c>
    </row>
    <row r="186" spans="1:15" x14ac:dyDescent="0.25">
      <c r="A186" s="45" t="s">
        <v>20</v>
      </c>
      <c r="B186" s="46">
        <v>2017</v>
      </c>
      <c r="C186" s="48">
        <v>1</v>
      </c>
      <c r="D186" s="47">
        <v>0</v>
      </c>
      <c r="E186" s="47">
        <v>1</v>
      </c>
      <c r="F186" s="47">
        <v>31</v>
      </c>
      <c r="G186" s="48">
        <v>27</v>
      </c>
      <c r="H186" s="48">
        <v>51</v>
      </c>
      <c r="I186" s="48">
        <v>81</v>
      </c>
      <c r="J186" s="47">
        <v>100</v>
      </c>
      <c r="K186" s="47">
        <v>81</v>
      </c>
      <c r="L186" s="47">
        <v>77</v>
      </c>
      <c r="M186" s="48">
        <v>34</v>
      </c>
      <c r="N186" s="48">
        <v>9</v>
      </c>
      <c r="O186" s="48">
        <f t="shared" si="0"/>
        <v>493</v>
      </c>
    </row>
    <row r="187" spans="1:15" x14ac:dyDescent="0.25">
      <c r="A187" s="45" t="s">
        <v>22</v>
      </c>
      <c r="B187" s="46">
        <v>2017</v>
      </c>
      <c r="C187" s="47">
        <v>1</v>
      </c>
      <c r="D187" s="47">
        <v>0</v>
      </c>
      <c r="E187" s="47">
        <v>0</v>
      </c>
      <c r="F187" s="47">
        <v>26</v>
      </c>
      <c r="G187" s="48">
        <v>23</v>
      </c>
      <c r="H187" s="47">
        <v>41</v>
      </c>
      <c r="I187" s="47">
        <v>67</v>
      </c>
      <c r="J187" s="47">
        <v>83</v>
      </c>
      <c r="K187" s="47">
        <v>68</v>
      </c>
      <c r="L187" s="47">
        <v>64</v>
      </c>
      <c r="M187" s="48">
        <v>28</v>
      </c>
      <c r="N187" s="48">
        <v>8</v>
      </c>
      <c r="O187" s="48">
        <f t="shared" si="0"/>
        <v>409</v>
      </c>
    </row>
    <row r="188" spans="1:15" x14ac:dyDescent="0.25">
      <c r="A188" s="45" t="s">
        <v>23</v>
      </c>
      <c r="B188" s="46">
        <v>2017</v>
      </c>
      <c r="C188" s="52">
        <v>0</v>
      </c>
      <c r="D188" s="47">
        <v>1</v>
      </c>
      <c r="E188" s="47">
        <v>0</v>
      </c>
      <c r="F188" s="47">
        <v>18</v>
      </c>
      <c r="G188" s="48">
        <v>16</v>
      </c>
      <c r="H188" s="48">
        <v>30</v>
      </c>
      <c r="I188" s="48">
        <v>47</v>
      </c>
      <c r="J188" s="47">
        <v>58</v>
      </c>
      <c r="K188" s="47">
        <v>47</v>
      </c>
      <c r="L188" s="47">
        <v>45</v>
      </c>
      <c r="M188" s="48">
        <v>19</v>
      </c>
      <c r="N188" s="48">
        <v>5</v>
      </c>
      <c r="O188" s="48">
        <f t="shared" si="0"/>
        <v>286</v>
      </c>
    </row>
    <row r="189" spans="1:15" x14ac:dyDescent="0.25">
      <c r="A189" s="45" t="s">
        <v>6</v>
      </c>
      <c r="B189" s="46">
        <v>2017</v>
      </c>
      <c r="C189" s="52">
        <v>0</v>
      </c>
      <c r="D189" s="47">
        <v>0</v>
      </c>
      <c r="E189" s="47">
        <v>0</v>
      </c>
      <c r="F189" s="47">
        <v>0</v>
      </c>
      <c r="G189" s="52">
        <v>0</v>
      </c>
      <c r="H189" s="52">
        <v>0</v>
      </c>
      <c r="I189" s="52">
        <v>0</v>
      </c>
      <c r="J189" s="47">
        <v>0</v>
      </c>
      <c r="K189" s="47">
        <v>0</v>
      </c>
      <c r="L189" s="47">
        <v>0</v>
      </c>
      <c r="M189" s="52">
        <v>0</v>
      </c>
      <c r="N189" s="52">
        <v>0</v>
      </c>
      <c r="O189" s="48">
        <f t="shared" si="0"/>
        <v>0</v>
      </c>
    </row>
    <row r="190" spans="1:15" x14ac:dyDescent="0.25">
      <c r="A190" s="45" t="s">
        <v>10</v>
      </c>
      <c r="B190" s="46">
        <v>2017</v>
      </c>
      <c r="C190" s="47">
        <v>169</v>
      </c>
      <c r="D190" s="47">
        <v>85</v>
      </c>
      <c r="E190" s="47">
        <v>127</v>
      </c>
      <c r="F190" s="49">
        <v>7361</v>
      </c>
      <c r="G190" s="50">
        <v>6431</v>
      </c>
      <c r="H190" s="49">
        <v>12015</v>
      </c>
      <c r="I190" s="49">
        <v>19123</v>
      </c>
      <c r="J190" s="49">
        <v>23607</v>
      </c>
      <c r="K190" s="49">
        <v>19208</v>
      </c>
      <c r="L190" s="49">
        <v>18150</v>
      </c>
      <c r="M190" s="50">
        <v>7911</v>
      </c>
      <c r="N190" s="50">
        <v>2158</v>
      </c>
      <c r="O190" s="48">
        <f t="shared" si="0"/>
        <v>116345</v>
      </c>
    </row>
    <row r="191" spans="1:15" x14ac:dyDescent="0.25">
      <c r="A191" s="45" t="s">
        <v>30</v>
      </c>
      <c r="B191" s="46">
        <v>2017</v>
      </c>
      <c r="C191" s="48">
        <v>1</v>
      </c>
      <c r="D191" s="47">
        <v>0</v>
      </c>
      <c r="E191" s="47">
        <v>0</v>
      </c>
      <c r="F191" s="48">
        <v>27</v>
      </c>
      <c r="G191" s="48">
        <v>24</v>
      </c>
      <c r="H191" s="48">
        <v>44</v>
      </c>
      <c r="I191" s="48">
        <v>71</v>
      </c>
      <c r="J191" s="47">
        <v>87</v>
      </c>
      <c r="K191" s="47">
        <v>71</v>
      </c>
      <c r="L191" s="48">
        <v>68</v>
      </c>
      <c r="M191" s="48">
        <v>29</v>
      </c>
      <c r="N191" s="48">
        <v>8</v>
      </c>
      <c r="O191" s="48">
        <f t="shared" si="0"/>
        <v>430</v>
      </c>
    </row>
    <row r="192" spans="1:15" x14ac:dyDescent="0.25">
      <c r="A192" s="45" t="s">
        <v>31</v>
      </c>
      <c r="B192" s="46">
        <v>2017</v>
      </c>
      <c r="C192" s="52">
        <v>0</v>
      </c>
      <c r="D192" s="52">
        <v>0</v>
      </c>
      <c r="E192" s="52">
        <v>0</v>
      </c>
      <c r="F192" s="48">
        <v>6</v>
      </c>
      <c r="G192" s="48">
        <v>5</v>
      </c>
      <c r="H192" s="48">
        <v>9</v>
      </c>
      <c r="I192" s="48">
        <v>14</v>
      </c>
      <c r="J192" s="48">
        <v>18</v>
      </c>
      <c r="K192" s="48">
        <v>14</v>
      </c>
      <c r="L192" s="48">
        <v>14</v>
      </c>
      <c r="M192" s="48">
        <v>6</v>
      </c>
      <c r="N192" s="48">
        <v>2</v>
      </c>
      <c r="O192" s="48">
        <f t="shared" si="0"/>
        <v>88</v>
      </c>
    </row>
    <row r="193" spans="1:15" x14ac:dyDescent="0.25">
      <c r="A193" s="45" t="s">
        <v>17</v>
      </c>
      <c r="B193" s="46">
        <v>2017</v>
      </c>
      <c r="C193" s="48">
        <v>7</v>
      </c>
      <c r="D193" s="48">
        <v>3</v>
      </c>
      <c r="E193" s="48">
        <v>5</v>
      </c>
      <c r="F193" s="48">
        <v>301</v>
      </c>
      <c r="G193" s="48">
        <v>263</v>
      </c>
      <c r="H193" s="48">
        <v>491</v>
      </c>
      <c r="I193" s="48">
        <v>781</v>
      </c>
      <c r="J193" s="48">
        <v>964</v>
      </c>
      <c r="K193" s="48">
        <v>788</v>
      </c>
      <c r="L193" s="48">
        <v>744</v>
      </c>
      <c r="M193" s="48">
        <v>327</v>
      </c>
      <c r="N193" s="48">
        <v>88</v>
      </c>
      <c r="O193" s="48">
        <f t="shared" si="0"/>
        <v>4762</v>
      </c>
    </row>
    <row r="194" spans="1:15" x14ac:dyDescent="0.25">
      <c r="A194" s="45" t="s">
        <v>18</v>
      </c>
      <c r="B194" s="46">
        <v>2017</v>
      </c>
      <c r="C194" s="48">
        <v>33</v>
      </c>
      <c r="D194" s="48">
        <v>16</v>
      </c>
      <c r="E194" s="48">
        <v>24</v>
      </c>
      <c r="F194" s="50">
        <v>1395</v>
      </c>
      <c r="G194" s="50">
        <v>1218</v>
      </c>
      <c r="H194" s="50">
        <v>2278</v>
      </c>
      <c r="I194" s="50">
        <v>3623</v>
      </c>
      <c r="J194" s="50">
        <v>4472</v>
      </c>
      <c r="K194" s="50">
        <v>3638</v>
      </c>
      <c r="L194" s="50">
        <v>3437</v>
      </c>
      <c r="M194" s="50">
        <v>1498</v>
      </c>
      <c r="N194" s="48">
        <v>409</v>
      </c>
      <c r="O194" s="48">
        <f t="shared" si="0"/>
        <v>22041</v>
      </c>
    </row>
    <row r="195" spans="1:15" x14ac:dyDescent="0.25">
      <c r="A195" s="45" t="s">
        <v>32</v>
      </c>
      <c r="B195" s="46">
        <v>2017</v>
      </c>
      <c r="C195" s="47">
        <v>3</v>
      </c>
      <c r="D195" s="47">
        <v>1</v>
      </c>
      <c r="E195" s="47">
        <v>2</v>
      </c>
      <c r="F195" s="47">
        <v>126</v>
      </c>
      <c r="G195" s="48">
        <v>110</v>
      </c>
      <c r="H195" s="47">
        <v>206</v>
      </c>
      <c r="I195" s="47">
        <v>327</v>
      </c>
      <c r="J195" s="47">
        <v>404</v>
      </c>
      <c r="K195" s="47">
        <v>329</v>
      </c>
      <c r="L195" s="47">
        <v>311</v>
      </c>
      <c r="M195" s="48">
        <v>135</v>
      </c>
      <c r="N195" s="48">
        <v>37</v>
      </c>
      <c r="O195" s="48">
        <f t="shared" si="0"/>
        <v>1991</v>
      </c>
    </row>
    <row r="196" spans="1:15" x14ac:dyDescent="0.25">
      <c r="A196" s="45" t="s">
        <v>33</v>
      </c>
      <c r="B196" s="46">
        <v>2017</v>
      </c>
      <c r="C196" s="47">
        <v>0</v>
      </c>
      <c r="D196" s="47">
        <v>0</v>
      </c>
      <c r="E196" s="47">
        <v>0</v>
      </c>
      <c r="F196" s="47">
        <v>7</v>
      </c>
      <c r="G196" s="48">
        <v>6</v>
      </c>
      <c r="H196" s="47">
        <v>12</v>
      </c>
      <c r="I196" s="47">
        <v>18</v>
      </c>
      <c r="J196" s="47">
        <v>23</v>
      </c>
      <c r="K196" s="47">
        <v>18</v>
      </c>
      <c r="L196" s="47">
        <v>17</v>
      </c>
      <c r="M196" s="48">
        <v>9</v>
      </c>
      <c r="N196" s="48">
        <v>2</v>
      </c>
      <c r="O196" s="48">
        <f t="shared" si="0"/>
        <v>112</v>
      </c>
    </row>
    <row r="197" spans="1:15" x14ac:dyDescent="0.25">
      <c r="A197" s="45" t="s">
        <v>5</v>
      </c>
      <c r="B197" s="46">
        <v>2017</v>
      </c>
      <c r="C197" s="47">
        <v>4</v>
      </c>
      <c r="D197" s="47">
        <v>2</v>
      </c>
      <c r="E197" s="47">
        <v>3</v>
      </c>
      <c r="F197" s="47">
        <v>184</v>
      </c>
      <c r="G197" s="47">
        <v>161</v>
      </c>
      <c r="H197" s="47">
        <v>301</v>
      </c>
      <c r="I197" s="47">
        <v>480</v>
      </c>
      <c r="J197" s="47">
        <v>591</v>
      </c>
      <c r="K197" s="47">
        <v>481</v>
      </c>
      <c r="L197" s="47">
        <v>454</v>
      </c>
      <c r="M197" s="47">
        <v>198</v>
      </c>
      <c r="N197" s="47">
        <v>54</v>
      </c>
      <c r="O197" s="48">
        <f t="shared" si="0"/>
        <v>2913</v>
      </c>
    </row>
    <row r="198" spans="1:15" x14ac:dyDescent="0.25">
      <c r="A198" s="45" t="s">
        <v>28</v>
      </c>
      <c r="B198" s="46">
        <v>2017</v>
      </c>
      <c r="C198" s="48">
        <v>5</v>
      </c>
      <c r="D198" s="47">
        <v>2</v>
      </c>
      <c r="E198" s="47">
        <v>3</v>
      </c>
      <c r="F198" s="47">
        <v>197</v>
      </c>
      <c r="G198" s="48">
        <v>171</v>
      </c>
      <c r="H198" s="48">
        <v>321</v>
      </c>
      <c r="I198" s="48">
        <v>511</v>
      </c>
      <c r="J198" s="47">
        <v>630</v>
      </c>
      <c r="K198" s="47">
        <v>513</v>
      </c>
      <c r="L198" s="47">
        <v>485</v>
      </c>
      <c r="M198" s="48">
        <v>211</v>
      </c>
      <c r="N198" s="48">
        <v>58</v>
      </c>
      <c r="O198" s="48">
        <f t="shared" si="0"/>
        <v>3107</v>
      </c>
    </row>
    <row r="199" spans="1:15" x14ac:dyDescent="0.25">
      <c r="A199" s="45" t="s">
        <v>27</v>
      </c>
      <c r="B199" s="46">
        <v>2017</v>
      </c>
      <c r="C199" s="47">
        <v>42</v>
      </c>
      <c r="D199" s="47">
        <v>21</v>
      </c>
      <c r="E199" s="47">
        <v>31</v>
      </c>
      <c r="F199" s="49">
        <v>1817</v>
      </c>
      <c r="G199" s="50">
        <v>1587</v>
      </c>
      <c r="H199" s="49">
        <v>2978</v>
      </c>
      <c r="I199" s="49">
        <v>4886</v>
      </c>
      <c r="J199" s="49">
        <v>6069</v>
      </c>
      <c r="K199" s="49">
        <v>4822</v>
      </c>
      <c r="L199" s="49">
        <v>4502</v>
      </c>
      <c r="M199" s="50">
        <v>1958</v>
      </c>
      <c r="N199" s="48">
        <v>601</v>
      </c>
      <c r="O199" s="48">
        <f t="shared" si="0"/>
        <v>29314</v>
      </c>
    </row>
    <row r="200" spans="1:15" x14ac:dyDescent="0.25">
      <c r="A200" s="45" t="s">
        <v>26</v>
      </c>
      <c r="B200" s="46">
        <v>2017</v>
      </c>
      <c r="C200" s="47">
        <v>4</v>
      </c>
      <c r="D200" s="47">
        <v>3</v>
      </c>
      <c r="E200" s="47">
        <v>3</v>
      </c>
      <c r="F200" s="47">
        <v>194</v>
      </c>
      <c r="G200" s="48">
        <v>169</v>
      </c>
      <c r="H200" s="47">
        <v>317</v>
      </c>
      <c r="I200" s="47">
        <v>504</v>
      </c>
      <c r="J200" s="47">
        <v>622</v>
      </c>
      <c r="K200" s="47">
        <v>506</v>
      </c>
      <c r="L200" s="47">
        <v>478</v>
      </c>
      <c r="M200" s="48">
        <v>208</v>
      </c>
      <c r="N200" s="48">
        <v>57</v>
      </c>
      <c r="O200" s="48">
        <f t="shared" si="0"/>
        <v>3065</v>
      </c>
    </row>
    <row r="201" spans="1:15" x14ac:dyDescent="0.25">
      <c r="A201" s="45" t="s">
        <v>29</v>
      </c>
      <c r="B201" s="46">
        <v>2017</v>
      </c>
      <c r="C201" s="47">
        <v>4</v>
      </c>
      <c r="D201" s="47">
        <v>2</v>
      </c>
      <c r="E201" s="47">
        <v>3</v>
      </c>
      <c r="F201" s="47">
        <v>177</v>
      </c>
      <c r="G201" s="48">
        <v>155</v>
      </c>
      <c r="H201" s="47">
        <v>290</v>
      </c>
      <c r="I201" s="47">
        <v>461</v>
      </c>
      <c r="J201" s="47">
        <v>569</v>
      </c>
      <c r="K201" s="47">
        <v>463</v>
      </c>
      <c r="L201" s="47">
        <v>437</v>
      </c>
      <c r="M201" s="48">
        <v>191</v>
      </c>
      <c r="N201" s="48">
        <v>52</v>
      </c>
      <c r="O201" s="48">
        <f t="shared" si="0"/>
        <v>2804</v>
      </c>
    </row>
    <row r="202" spans="1:15" x14ac:dyDescent="0.25">
      <c r="A202" s="45" t="s">
        <v>24</v>
      </c>
      <c r="B202" s="46">
        <v>2017</v>
      </c>
      <c r="C202" s="48">
        <v>4</v>
      </c>
      <c r="D202" s="48">
        <v>3</v>
      </c>
      <c r="E202" s="48">
        <v>3</v>
      </c>
      <c r="F202" s="48">
        <v>186</v>
      </c>
      <c r="G202" s="48">
        <v>162</v>
      </c>
      <c r="H202" s="48">
        <v>303</v>
      </c>
      <c r="I202" s="48">
        <v>482</v>
      </c>
      <c r="J202" s="48">
        <v>595</v>
      </c>
      <c r="K202" s="48">
        <v>484</v>
      </c>
      <c r="L202" s="48">
        <v>458</v>
      </c>
      <c r="M202" s="48">
        <v>200</v>
      </c>
      <c r="N202" s="48">
        <v>54</v>
      </c>
      <c r="O202" s="48">
        <f t="shared" si="0"/>
        <v>2934</v>
      </c>
    </row>
    <row r="203" spans="1:15" x14ac:dyDescent="0.25">
      <c r="A203" s="45" t="s">
        <v>4</v>
      </c>
      <c r="B203" s="46">
        <v>2017</v>
      </c>
      <c r="C203" s="47">
        <v>39</v>
      </c>
      <c r="D203" s="47">
        <v>32</v>
      </c>
      <c r="E203" s="47">
        <v>39</v>
      </c>
      <c r="F203" s="49">
        <v>1373</v>
      </c>
      <c r="G203" s="50">
        <v>1274</v>
      </c>
      <c r="H203" s="49">
        <v>2370</v>
      </c>
      <c r="I203" s="49">
        <v>3576</v>
      </c>
      <c r="J203" s="49">
        <v>4350</v>
      </c>
      <c r="K203" s="49">
        <v>3536</v>
      </c>
      <c r="L203" s="49">
        <v>3342</v>
      </c>
      <c r="M203" s="50">
        <v>1466</v>
      </c>
      <c r="N203" s="48">
        <v>403</v>
      </c>
      <c r="O203" s="48">
        <f t="shared" si="0"/>
        <v>21800</v>
      </c>
    </row>
    <row r="204" spans="1:15" x14ac:dyDescent="0.25">
      <c r="A204" s="45" t="s">
        <v>8</v>
      </c>
      <c r="B204" s="46">
        <v>2017</v>
      </c>
      <c r="C204" s="47">
        <v>176</v>
      </c>
      <c r="D204" s="47">
        <v>88</v>
      </c>
      <c r="E204" s="47">
        <v>132</v>
      </c>
      <c r="F204" s="49">
        <v>7643</v>
      </c>
      <c r="G204" s="50">
        <v>6677</v>
      </c>
      <c r="H204" s="49">
        <v>12472</v>
      </c>
      <c r="I204" s="49">
        <v>19854</v>
      </c>
      <c r="J204" s="49">
        <v>24510</v>
      </c>
      <c r="K204" s="49">
        <v>19942</v>
      </c>
      <c r="L204" s="49">
        <v>18844</v>
      </c>
      <c r="M204" s="50">
        <v>8214</v>
      </c>
      <c r="N204" s="50">
        <v>2240</v>
      </c>
      <c r="O204" s="48">
        <f t="shared" si="0"/>
        <v>120792</v>
      </c>
    </row>
    <row r="205" spans="1:15" x14ac:dyDescent="0.25">
      <c r="A205" s="45" t="s">
        <v>3</v>
      </c>
      <c r="B205" s="46">
        <v>2017</v>
      </c>
      <c r="C205" s="47">
        <v>107</v>
      </c>
      <c r="D205" s="47">
        <v>72</v>
      </c>
      <c r="E205" s="47">
        <v>96</v>
      </c>
      <c r="F205" s="49">
        <v>4168</v>
      </c>
      <c r="G205" s="50">
        <v>3759</v>
      </c>
      <c r="H205" s="49">
        <v>7007</v>
      </c>
      <c r="I205" s="49">
        <v>10844</v>
      </c>
      <c r="J205" s="49">
        <v>13286</v>
      </c>
      <c r="K205" s="49">
        <v>10806</v>
      </c>
      <c r="L205" s="49">
        <v>10211</v>
      </c>
      <c r="M205" s="50">
        <v>4465</v>
      </c>
      <c r="N205" s="50">
        <v>1223</v>
      </c>
      <c r="O205" s="48">
        <f t="shared" si="0"/>
        <v>66044</v>
      </c>
    </row>
    <row r="206" spans="1:15" x14ac:dyDescent="0.25">
      <c r="A206" s="45" t="s">
        <v>2</v>
      </c>
      <c r="B206" s="46">
        <v>2016</v>
      </c>
      <c r="C206" s="47">
        <v>95</v>
      </c>
      <c r="D206" s="47">
        <v>47</v>
      </c>
      <c r="E206" s="47">
        <v>71</v>
      </c>
      <c r="F206" s="47">
        <v>4.1269999999999998</v>
      </c>
      <c r="G206" s="48">
        <v>3.605</v>
      </c>
      <c r="H206" s="47">
        <v>6.7370000000000001</v>
      </c>
      <c r="I206" s="47">
        <v>10.722</v>
      </c>
      <c r="J206" s="47">
        <v>13.236000000000001</v>
      </c>
      <c r="K206" s="47">
        <v>10.769</v>
      </c>
      <c r="L206" s="47">
        <v>10.176</v>
      </c>
      <c r="M206" s="48">
        <v>4.4359999999999999</v>
      </c>
      <c r="N206" s="48">
        <v>1.21</v>
      </c>
      <c r="O206" s="48">
        <f t="shared" si="0"/>
        <v>278.01799999999992</v>
      </c>
    </row>
    <row r="207" spans="1:15" x14ac:dyDescent="0.25">
      <c r="A207" s="45" t="s">
        <v>16</v>
      </c>
      <c r="B207" s="46">
        <v>2016</v>
      </c>
      <c r="C207" s="48">
        <v>25</v>
      </c>
      <c r="D207" s="48">
        <v>13</v>
      </c>
      <c r="E207" s="48">
        <v>19</v>
      </c>
      <c r="F207" s="48">
        <v>1.0860000000000001</v>
      </c>
      <c r="G207" s="48">
        <v>950</v>
      </c>
      <c r="H207" s="48">
        <v>1.7729999999999999</v>
      </c>
      <c r="I207" s="48">
        <v>2.8220000000000001</v>
      </c>
      <c r="J207" s="48">
        <v>3.4830000000000001</v>
      </c>
      <c r="K207" s="48">
        <v>2.8330000000000002</v>
      </c>
      <c r="L207" s="48">
        <v>2.677</v>
      </c>
      <c r="M207" s="48">
        <v>1.167</v>
      </c>
      <c r="N207" s="48">
        <v>318</v>
      </c>
      <c r="O207" s="48">
        <f t="shared" si="0"/>
        <v>1340.8409999999999</v>
      </c>
    </row>
    <row r="208" spans="1:15" x14ac:dyDescent="0.25">
      <c r="A208" s="45" t="s">
        <v>42</v>
      </c>
      <c r="B208" s="46">
        <v>2016</v>
      </c>
      <c r="C208" s="47">
        <v>0</v>
      </c>
      <c r="D208" s="47">
        <v>1</v>
      </c>
      <c r="E208" s="47">
        <v>1</v>
      </c>
      <c r="F208" s="47">
        <v>0</v>
      </c>
      <c r="G208" s="52">
        <v>0</v>
      </c>
      <c r="H208" s="47">
        <v>0</v>
      </c>
      <c r="I208" s="47">
        <v>0</v>
      </c>
      <c r="J208" s="47">
        <v>1</v>
      </c>
      <c r="K208" s="47">
        <v>0</v>
      </c>
      <c r="L208" s="47">
        <v>0</v>
      </c>
      <c r="M208" s="52">
        <v>0</v>
      </c>
      <c r="N208" s="52">
        <v>0</v>
      </c>
      <c r="O208" s="48">
        <f t="shared" si="0"/>
        <v>3</v>
      </c>
    </row>
    <row r="209" spans="1:15" x14ac:dyDescent="0.25">
      <c r="A209" s="45" t="s">
        <v>13</v>
      </c>
      <c r="B209" s="46">
        <v>2016</v>
      </c>
      <c r="C209" s="47">
        <v>3</v>
      </c>
      <c r="D209" s="47">
        <v>1</v>
      </c>
      <c r="E209" s="47">
        <v>2</v>
      </c>
      <c r="F209" s="47">
        <v>112</v>
      </c>
      <c r="G209" s="48">
        <v>98</v>
      </c>
      <c r="H209" s="47">
        <v>183</v>
      </c>
      <c r="I209" s="47">
        <v>291</v>
      </c>
      <c r="J209" s="47">
        <v>359</v>
      </c>
      <c r="K209" s="47">
        <v>292</v>
      </c>
      <c r="L209" s="47">
        <v>276</v>
      </c>
      <c r="M209" s="48">
        <v>120</v>
      </c>
      <c r="N209" s="48">
        <v>33</v>
      </c>
      <c r="O209" s="48">
        <f t="shared" si="0"/>
        <v>1770</v>
      </c>
    </row>
    <row r="210" spans="1:15" x14ac:dyDescent="0.25">
      <c r="A210" s="45" t="s">
        <v>9</v>
      </c>
      <c r="B210" s="46">
        <v>2016</v>
      </c>
      <c r="C210" s="47">
        <v>85</v>
      </c>
      <c r="D210" s="47">
        <v>45</v>
      </c>
      <c r="E210" s="47">
        <v>67</v>
      </c>
      <c r="F210" s="47">
        <v>3.6030000000000002</v>
      </c>
      <c r="G210" s="48">
        <v>3.169</v>
      </c>
      <c r="H210" s="47">
        <v>5.9180000000000001</v>
      </c>
      <c r="I210" s="47">
        <v>9.3610000000000007</v>
      </c>
      <c r="J210" s="47">
        <v>11.538</v>
      </c>
      <c r="K210" s="47">
        <v>9.3870000000000005</v>
      </c>
      <c r="L210" s="47">
        <v>8.8699999999999992</v>
      </c>
      <c r="M210" s="48">
        <v>3.8690000000000002</v>
      </c>
      <c r="N210" s="48">
        <v>1.056</v>
      </c>
      <c r="O210" s="48">
        <f t="shared" si="0"/>
        <v>253.77100000000004</v>
      </c>
    </row>
    <row r="211" spans="1:15" x14ac:dyDescent="0.25">
      <c r="A211" s="45" t="s">
        <v>44</v>
      </c>
      <c r="B211" s="46">
        <v>2016</v>
      </c>
      <c r="C211" s="48">
        <v>1</v>
      </c>
      <c r="D211" s="52">
        <v>0</v>
      </c>
      <c r="E211" s="48">
        <v>1</v>
      </c>
      <c r="F211" s="48">
        <v>29</v>
      </c>
      <c r="G211" s="48">
        <v>25</v>
      </c>
      <c r="H211" s="48">
        <v>48</v>
      </c>
      <c r="I211" s="48">
        <v>76</v>
      </c>
      <c r="J211" s="48">
        <v>94</v>
      </c>
      <c r="K211" s="48">
        <v>77</v>
      </c>
      <c r="L211" s="48">
        <v>73</v>
      </c>
      <c r="M211" s="48">
        <v>32</v>
      </c>
      <c r="N211" s="48">
        <v>9</v>
      </c>
      <c r="O211" s="48">
        <f t="shared" si="0"/>
        <v>465</v>
      </c>
    </row>
    <row r="212" spans="1:15" x14ac:dyDescent="0.25">
      <c r="A212" s="45" t="s">
        <v>11</v>
      </c>
      <c r="B212" s="46">
        <v>2016</v>
      </c>
      <c r="C212" s="52">
        <v>0</v>
      </c>
      <c r="D212" s="52">
        <v>0</v>
      </c>
      <c r="E212" s="52">
        <v>0</v>
      </c>
      <c r="F212" s="52">
        <v>0</v>
      </c>
      <c r="G212" s="52">
        <v>0</v>
      </c>
      <c r="H212" s="52">
        <v>0</v>
      </c>
      <c r="I212" s="52">
        <v>0</v>
      </c>
      <c r="J212" s="52">
        <v>0</v>
      </c>
      <c r="K212" s="52">
        <v>0</v>
      </c>
      <c r="L212" s="52">
        <v>0</v>
      </c>
      <c r="M212" s="52">
        <v>0</v>
      </c>
      <c r="N212" s="52">
        <v>0</v>
      </c>
      <c r="O212" s="48">
        <f t="shared" si="0"/>
        <v>0</v>
      </c>
    </row>
    <row r="213" spans="1:15" x14ac:dyDescent="0.25">
      <c r="A213" s="45" t="s">
        <v>25</v>
      </c>
      <c r="B213" s="46">
        <v>2016</v>
      </c>
      <c r="C213" s="52">
        <v>0</v>
      </c>
      <c r="D213" s="47">
        <v>0</v>
      </c>
      <c r="E213" s="47">
        <v>0</v>
      </c>
      <c r="F213" s="47">
        <v>12</v>
      </c>
      <c r="G213" s="48">
        <v>10</v>
      </c>
      <c r="H213" s="48">
        <v>19</v>
      </c>
      <c r="I213" s="48">
        <v>31</v>
      </c>
      <c r="J213" s="47">
        <v>37</v>
      </c>
      <c r="K213" s="47">
        <v>30</v>
      </c>
      <c r="L213" s="47">
        <v>28</v>
      </c>
      <c r="M213" s="48">
        <v>12</v>
      </c>
      <c r="N213" s="48">
        <v>3</v>
      </c>
      <c r="O213" s="48">
        <f t="shared" si="0"/>
        <v>182</v>
      </c>
    </row>
    <row r="214" spans="1:15" x14ac:dyDescent="0.25">
      <c r="A214" s="45" t="s">
        <v>7</v>
      </c>
      <c r="B214" s="46">
        <v>2016</v>
      </c>
      <c r="C214" s="47">
        <v>19</v>
      </c>
      <c r="D214" s="47">
        <v>10</v>
      </c>
      <c r="E214" s="47">
        <v>15</v>
      </c>
      <c r="F214" s="47">
        <v>848</v>
      </c>
      <c r="G214" s="48">
        <v>740</v>
      </c>
      <c r="H214" s="47">
        <v>1.383</v>
      </c>
      <c r="I214" s="47">
        <v>2.202</v>
      </c>
      <c r="J214" s="47">
        <v>2.718</v>
      </c>
      <c r="K214" s="47">
        <v>2.2109999999999999</v>
      </c>
      <c r="L214" s="47">
        <v>2.09</v>
      </c>
      <c r="M214" s="48">
        <v>911</v>
      </c>
      <c r="N214" s="48">
        <v>248</v>
      </c>
      <c r="O214" s="48">
        <f t="shared" si="0"/>
        <v>2801.6040000000003</v>
      </c>
    </row>
    <row r="215" spans="1:15" x14ac:dyDescent="0.25">
      <c r="A215" s="45" t="s">
        <v>12</v>
      </c>
      <c r="B215" s="46">
        <v>2016</v>
      </c>
      <c r="C215" s="47">
        <v>26</v>
      </c>
      <c r="D215" s="47">
        <v>18</v>
      </c>
      <c r="E215" s="47">
        <v>24</v>
      </c>
      <c r="F215" s="47">
        <v>1.119</v>
      </c>
      <c r="G215" s="48">
        <v>978</v>
      </c>
      <c r="H215" s="47">
        <v>1.825</v>
      </c>
      <c r="I215" s="47">
        <v>2.9060000000000001</v>
      </c>
      <c r="J215" s="47">
        <v>3.5859999999999999</v>
      </c>
      <c r="K215" s="47">
        <v>2.919</v>
      </c>
      <c r="L215" s="47">
        <v>2.75</v>
      </c>
      <c r="M215" s="48">
        <v>1.204</v>
      </c>
      <c r="N215" s="48">
        <v>327</v>
      </c>
      <c r="O215" s="48">
        <f t="shared" si="0"/>
        <v>1389.309</v>
      </c>
    </row>
    <row r="216" spans="1:15" x14ac:dyDescent="0.25">
      <c r="A216" s="45" t="s">
        <v>14</v>
      </c>
      <c r="B216" s="46">
        <v>2016</v>
      </c>
      <c r="C216" s="48">
        <v>29</v>
      </c>
      <c r="D216" s="48">
        <v>13</v>
      </c>
      <c r="E216" s="48">
        <v>78</v>
      </c>
      <c r="F216" s="48">
        <v>1.0640000000000001</v>
      </c>
      <c r="G216" s="48">
        <v>929</v>
      </c>
      <c r="H216" s="48">
        <v>1.796</v>
      </c>
      <c r="I216" s="48">
        <v>3.2130000000000001</v>
      </c>
      <c r="J216" s="48">
        <v>4.2960000000000003</v>
      </c>
      <c r="K216" s="48">
        <v>3.22</v>
      </c>
      <c r="L216" s="48">
        <v>2.7</v>
      </c>
      <c r="M216" s="48">
        <v>1.2509999999999999</v>
      </c>
      <c r="N216" s="48">
        <v>320</v>
      </c>
      <c r="O216" s="48">
        <f t="shared" si="0"/>
        <v>1386.5400000000002</v>
      </c>
    </row>
    <row r="217" spans="1:15" x14ac:dyDescent="0.25">
      <c r="A217" s="45" t="s">
        <v>15</v>
      </c>
      <c r="B217" s="46">
        <v>2016</v>
      </c>
      <c r="C217" s="48">
        <v>55</v>
      </c>
      <c r="D217" s="48">
        <v>29</v>
      </c>
      <c r="E217" s="48">
        <v>43</v>
      </c>
      <c r="F217" s="48">
        <v>3.33</v>
      </c>
      <c r="G217" s="48">
        <v>3.9609999999999999</v>
      </c>
      <c r="H217" s="48">
        <v>7.125</v>
      </c>
      <c r="I217" s="48">
        <v>10.17</v>
      </c>
      <c r="J217" s="48">
        <v>11.897</v>
      </c>
      <c r="K217" s="48">
        <v>10.554</v>
      </c>
      <c r="L217" s="48">
        <v>9.9060000000000006</v>
      </c>
      <c r="M217" s="48">
        <v>5.0659999999999998</v>
      </c>
      <c r="N217" s="48">
        <v>1.4319999999999999</v>
      </c>
      <c r="O217" s="48">
        <f t="shared" si="0"/>
        <v>190.441</v>
      </c>
    </row>
    <row r="218" spans="1:15" x14ac:dyDescent="0.25">
      <c r="A218" s="45" t="s">
        <v>19</v>
      </c>
      <c r="B218" s="46">
        <v>2016</v>
      </c>
      <c r="C218" s="47">
        <v>5</v>
      </c>
      <c r="D218" s="47">
        <v>3</v>
      </c>
      <c r="E218" s="47">
        <v>4</v>
      </c>
      <c r="F218" s="47">
        <v>236</v>
      </c>
      <c r="G218" s="48">
        <v>206</v>
      </c>
      <c r="H218" s="47">
        <v>387</v>
      </c>
      <c r="I218" s="47">
        <v>614</v>
      </c>
      <c r="J218" s="47">
        <v>758</v>
      </c>
      <c r="K218" s="47">
        <v>617</v>
      </c>
      <c r="L218" s="47">
        <v>583</v>
      </c>
      <c r="M218" s="48">
        <v>254</v>
      </c>
      <c r="N218" s="48">
        <v>69</v>
      </c>
      <c r="O218" s="48">
        <f t="shared" si="0"/>
        <v>3736</v>
      </c>
    </row>
    <row r="219" spans="1:15" x14ac:dyDescent="0.25">
      <c r="A219" s="45" t="s">
        <v>21</v>
      </c>
      <c r="B219" s="46">
        <v>2016</v>
      </c>
      <c r="C219" s="47">
        <v>3</v>
      </c>
      <c r="D219" s="47">
        <v>1</v>
      </c>
      <c r="E219" s="47">
        <v>2</v>
      </c>
      <c r="F219" s="47">
        <v>122</v>
      </c>
      <c r="G219" s="48">
        <v>107</v>
      </c>
      <c r="H219" s="47">
        <v>199</v>
      </c>
      <c r="I219" s="47">
        <v>317</v>
      </c>
      <c r="J219" s="47">
        <v>391</v>
      </c>
      <c r="K219" s="47">
        <v>318</v>
      </c>
      <c r="L219" s="47">
        <v>301</v>
      </c>
      <c r="M219" s="48">
        <v>131</v>
      </c>
      <c r="N219" s="48">
        <v>37</v>
      </c>
      <c r="O219" s="48">
        <f t="shared" si="0"/>
        <v>1929</v>
      </c>
    </row>
    <row r="220" spans="1:15" x14ac:dyDescent="0.25">
      <c r="A220" s="45" t="s">
        <v>20</v>
      </c>
      <c r="B220" s="46">
        <v>2016</v>
      </c>
      <c r="C220" s="48">
        <v>1</v>
      </c>
      <c r="D220" s="47">
        <v>0</v>
      </c>
      <c r="E220" s="47">
        <v>1</v>
      </c>
      <c r="F220" s="47">
        <v>30</v>
      </c>
      <c r="G220" s="48">
        <v>26</v>
      </c>
      <c r="H220" s="48">
        <v>49</v>
      </c>
      <c r="I220" s="48">
        <v>78</v>
      </c>
      <c r="J220" s="47">
        <v>96</v>
      </c>
      <c r="K220" s="47">
        <v>78</v>
      </c>
      <c r="L220" s="47">
        <v>74</v>
      </c>
      <c r="M220" s="48">
        <v>32</v>
      </c>
      <c r="N220" s="48">
        <v>9</v>
      </c>
      <c r="O220" s="48">
        <f t="shared" si="0"/>
        <v>474</v>
      </c>
    </row>
    <row r="221" spans="1:15" x14ac:dyDescent="0.25">
      <c r="A221" s="45" t="s">
        <v>22</v>
      </c>
      <c r="B221" s="46">
        <v>2016</v>
      </c>
      <c r="C221" s="47">
        <v>1</v>
      </c>
      <c r="D221" s="47">
        <v>0</v>
      </c>
      <c r="E221" s="47">
        <v>0</v>
      </c>
      <c r="F221" s="47">
        <v>25</v>
      </c>
      <c r="G221" s="48">
        <v>22</v>
      </c>
      <c r="H221" s="47">
        <v>40</v>
      </c>
      <c r="I221" s="47">
        <v>64</v>
      </c>
      <c r="J221" s="47">
        <v>80</v>
      </c>
      <c r="K221" s="47">
        <v>65</v>
      </c>
      <c r="L221" s="47">
        <v>61</v>
      </c>
      <c r="M221" s="48">
        <v>27</v>
      </c>
      <c r="N221" s="48">
        <v>7</v>
      </c>
      <c r="O221" s="48">
        <f t="shared" si="0"/>
        <v>392</v>
      </c>
    </row>
    <row r="222" spans="1:15" x14ac:dyDescent="0.25">
      <c r="A222" s="45" t="s">
        <v>23</v>
      </c>
      <c r="B222" s="46">
        <v>2016</v>
      </c>
      <c r="C222" s="52">
        <v>0</v>
      </c>
      <c r="D222" s="47">
        <v>0</v>
      </c>
      <c r="E222" s="47">
        <v>0</v>
      </c>
      <c r="F222" s="47">
        <v>17</v>
      </c>
      <c r="G222" s="48">
        <v>15</v>
      </c>
      <c r="H222" s="48">
        <v>29</v>
      </c>
      <c r="I222" s="48">
        <v>45</v>
      </c>
      <c r="J222" s="47">
        <v>56</v>
      </c>
      <c r="K222" s="47">
        <v>47</v>
      </c>
      <c r="L222" s="47">
        <v>43</v>
      </c>
      <c r="M222" s="48">
        <v>19</v>
      </c>
      <c r="N222" s="48">
        <v>5</v>
      </c>
      <c r="O222" s="48">
        <f t="shared" si="0"/>
        <v>276</v>
      </c>
    </row>
    <row r="223" spans="1:15" x14ac:dyDescent="0.25">
      <c r="A223" s="45" t="s">
        <v>6</v>
      </c>
      <c r="B223" s="46">
        <v>2016</v>
      </c>
      <c r="C223" s="52">
        <v>0</v>
      </c>
      <c r="D223" s="47">
        <v>0</v>
      </c>
      <c r="E223" s="47">
        <v>0</v>
      </c>
      <c r="F223" s="47">
        <v>0</v>
      </c>
      <c r="G223" s="52">
        <v>0</v>
      </c>
      <c r="H223" s="52">
        <v>0</v>
      </c>
      <c r="I223" s="52">
        <v>0</v>
      </c>
      <c r="J223" s="47">
        <v>0</v>
      </c>
      <c r="K223" s="47">
        <v>0</v>
      </c>
      <c r="L223" s="47">
        <v>0</v>
      </c>
      <c r="M223" s="52">
        <v>0</v>
      </c>
      <c r="N223" s="52">
        <v>0</v>
      </c>
      <c r="O223" s="48">
        <f t="shared" si="0"/>
        <v>0</v>
      </c>
    </row>
    <row r="224" spans="1:15" x14ac:dyDescent="0.25">
      <c r="A224" s="45" t="s">
        <v>10</v>
      </c>
      <c r="B224" s="46">
        <v>2016</v>
      </c>
      <c r="C224" s="47">
        <v>168</v>
      </c>
      <c r="D224" s="47">
        <v>84</v>
      </c>
      <c r="E224" s="47">
        <v>126</v>
      </c>
      <c r="F224" s="47">
        <v>7.31</v>
      </c>
      <c r="G224" s="48">
        <v>6.3849999999999998</v>
      </c>
      <c r="H224" s="47">
        <v>11.93</v>
      </c>
      <c r="I224" s="47">
        <v>18.988</v>
      </c>
      <c r="J224" s="47">
        <v>23.440999999999999</v>
      </c>
      <c r="K224" s="47">
        <v>19.071999999999999</v>
      </c>
      <c r="L224" s="47">
        <v>18.021999999999998</v>
      </c>
      <c r="M224" s="48">
        <v>7.8559999999999999</v>
      </c>
      <c r="N224" s="48">
        <v>2.1419999999999999</v>
      </c>
      <c r="O224" s="48">
        <f t="shared" si="0"/>
        <v>493.14599999999996</v>
      </c>
    </row>
    <row r="225" spans="1:15" x14ac:dyDescent="0.25">
      <c r="A225" s="45" t="s">
        <v>30</v>
      </c>
      <c r="B225" s="46">
        <v>2016</v>
      </c>
      <c r="C225" s="48">
        <v>1</v>
      </c>
      <c r="D225" s="47">
        <v>0</v>
      </c>
      <c r="E225" s="47">
        <v>0</v>
      </c>
      <c r="F225" s="48">
        <v>26</v>
      </c>
      <c r="G225" s="48">
        <v>23</v>
      </c>
      <c r="H225" s="48">
        <v>42</v>
      </c>
      <c r="I225" s="48">
        <v>68</v>
      </c>
      <c r="J225" s="47">
        <v>83</v>
      </c>
      <c r="K225" s="47">
        <v>68</v>
      </c>
      <c r="L225" s="48">
        <v>64</v>
      </c>
      <c r="M225" s="48">
        <v>28</v>
      </c>
      <c r="N225" s="48">
        <v>8</v>
      </c>
      <c r="O225" s="48">
        <f t="shared" si="0"/>
        <v>411</v>
      </c>
    </row>
    <row r="226" spans="1:15" x14ac:dyDescent="0.25">
      <c r="A226" s="45" t="s">
        <v>31</v>
      </c>
      <c r="B226" s="46">
        <v>2016</v>
      </c>
      <c r="C226" s="52">
        <v>0</v>
      </c>
      <c r="D226" s="52">
        <v>0</v>
      </c>
      <c r="E226" s="52">
        <v>0</v>
      </c>
      <c r="F226" s="48">
        <v>5</v>
      </c>
      <c r="G226" s="48">
        <v>5</v>
      </c>
      <c r="H226" s="48">
        <v>9</v>
      </c>
      <c r="I226" s="48">
        <v>14</v>
      </c>
      <c r="J226" s="48">
        <v>17</v>
      </c>
      <c r="K226" s="48">
        <v>14</v>
      </c>
      <c r="L226" s="48">
        <v>13</v>
      </c>
      <c r="M226" s="48">
        <v>5</v>
      </c>
      <c r="N226" s="48">
        <v>2</v>
      </c>
      <c r="O226" s="48">
        <f t="shared" si="0"/>
        <v>84</v>
      </c>
    </row>
    <row r="227" spans="1:15" x14ac:dyDescent="0.25">
      <c r="A227" s="45" t="s">
        <v>17</v>
      </c>
      <c r="B227" s="46">
        <v>2016</v>
      </c>
      <c r="C227" s="48">
        <v>7</v>
      </c>
      <c r="D227" s="48">
        <v>3</v>
      </c>
      <c r="E227" s="48">
        <v>5</v>
      </c>
      <c r="F227" s="48">
        <v>294</v>
      </c>
      <c r="G227" s="48">
        <v>257</v>
      </c>
      <c r="H227" s="48">
        <v>479</v>
      </c>
      <c r="I227" s="48">
        <v>763</v>
      </c>
      <c r="J227" s="48">
        <v>942</v>
      </c>
      <c r="K227" s="48">
        <v>766</v>
      </c>
      <c r="L227" s="48">
        <v>724</v>
      </c>
      <c r="M227" s="48">
        <v>315</v>
      </c>
      <c r="N227" s="48">
        <v>86</v>
      </c>
      <c r="O227" s="48">
        <f t="shared" si="0"/>
        <v>4641</v>
      </c>
    </row>
    <row r="228" spans="1:15" x14ac:dyDescent="0.25">
      <c r="A228" s="45" t="s">
        <v>18</v>
      </c>
      <c r="B228" s="46">
        <v>2016</v>
      </c>
      <c r="C228" s="48">
        <v>41</v>
      </c>
      <c r="D228" s="48">
        <v>16</v>
      </c>
      <c r="E228" s="48">
        <v>24</v>
      </c>
      <c r="F228" s="48">
        <v>1.415</v>
      </c>
      <c r="G228" s="48">
        <v>1.2290000000000001</v>
      </c>
      <c r="H228" s="48">
        <v>2.3220000000000001</v>
      </c>
      <c r="I228" s="48">
        <v>3.6709999999999998</v>
      </c>
      <c r="J228" s="48">
        <v>4.5190000000000001</v>
      </c>
      <c r="K228" s="48">
        <v>3.6789999999999998</v>
      </c>
      <c r="L228" s="48">
        <v>3.4769999999999999</v>
      </c>
      <c r="M228" s="48">
        <v>1.5209999999999999</v>
      </c>
      <c r="N228" s="48">
        <v>421</v>
      </c>
      <c r="O228" s="48">
        <f t="shared" si="0"/>
        <v>523.83300000000008</v>
      </c>
    </row>
    <row r="229" spans="1:15" x14ac:dyDescent="0.25">
      <c r="A229" s="45" t="s">
        <v>32</v>
      </c>
      <c r="B229" s="46">
        <v>2016</v>
      </c>
      <c r="C229" s="47">
        <v>3</v>
      </c>
      <c r="D229" s="47">
        <v>2</v>
      </c>
      <c r="E229" s="47">
        <v>2</v>
      </c>
      <c r="F229" s="47">
        <v>144</v>
      </c>
      <c r="G229" s="48">
        <v>126</v>
      </c>
      <c r="H229" s="47">
        <v>235</v>
      </c>
      <c r="I229" s="47">
        <v>373</v>
      </c>
      <c r="J229" s="47">
        <v>461</v>
      </c>
      <c r="K229" s="47">
        <v>375</v>
      </c>
      <c r="L229" s="47">
        <v>354</v>
      </c>
      <c r="M229" s="48">
        <v>154</v>
      </c>
      <c r="N229" s="48">
        <v>42</v>
      </c>
      <c r="O229" s="48">
        <f t="shared" si="0"/>
        <v>2271</v>
      </c>
    </row>
    <row r="230" spans="1:15" x14ac:dyDescent="0.25">
      <c r="A230" s="45" t="s">
        <v>33</v>
      </c>
      <c r="B230" s="46">
        <v>2016</v>
      </c>
      <c r="C230" s="47">
        <v>0</v>
      </c>
      <c r="D230" s="47">
        <v>0</v>
      </c>
      <c r="E230" s="47">
        <v>0</v>
      </c>
      <c r="F230" s="47">
        <v>8</v>
      </c>
      <c r="G230" s="48">
        <v>7</v>
      </c>
      <c r="H230" s="47">
        <v>14</v>
      </c>
      <c r="I230" s="47">
        <v>21</v>
      </c>
      <c r="J230" s="47">
        <v>26</v>
      </c>
      <c r="K230" s="47">
        <v>21</v>
      </c>
      <c r="L230" s="47">
        <v>20</v>
      </c>
      <c r="M230" s="48">
        <v>9</v>
      </c>
      <c r="N230" s="48">
        <v>2</v>
      </c>
      <c r="O230" s="48">
        <f t="shared" si="0"/>
        <v>128</v>
      </c>
    </row>
    <row r="231" spans="1:15" x14ac:dyDescent="0.25">
      <c r="A231" s="45" t="s">
        <v>5</v>
      </c>
      <c r="B231" s="46">
        <v>2016</v>
      </c>
      <c r="C231" s="47">
        <v>4</v>
      </c>
      <c r="D231" s="47">
        <v>2</v>
      </c>
      <c r="E231" s="47">
        <v>3</v>
      </c>
      <c r="F231" s="47">
        <v>177</v>
      </c>
      <c r="G231" s="47">
        <v>154</v>
      </c>
      <c r="H231" s="47">
        <v>287</v>
      </c>
      <c r="I231" s="47">
        <v>457</v>
      </c>
      <c r="J231" s="47">
        <v>564</v>
      </c>
      <c r="K231" s="47">
        <v>459</v>
      </c>
      <c r="L231" s="47">
        <v>434</v>
      </c>
      <c r="M231" s="47">
        <v>189</v>
      </c>
      <c r="N231" s="47">
        <v>52</v>
      </c>
      <c r="O231" s="48">
        <f t="shared" si="0"/>
        <v>2782</v>
      </c>
    </row>
    <row r="232" spans="1:15" x14ac:dyDescent="0.25">
      <c r="A232" s="45" t="s">
        <v>28</v>
      </c>
      <c r="B232" s="46">
        <v>2016</v>
      </c>
      <c r="C232" s="48">
        <v>5</v>
      </c>
      <c r="D232" s="47">
        <v>3</v>
      </c>
      <c r="E232" s="47">
        <v>3</v>
      </c>
      <c r="F232" s="47">
        <v>199</v>
      </c>
      <c r="G232" s="48">
        <v>174</v>
      </c>
      <c r="H232" s="48">
        <v>326</v>
      </c>
      <c r="I232" s="48">
        <v>518</v>
      </c>
      <c r="J232" s="47">
        <v>640</v>
      </c>
      <c r="K232" s="47">
        <v>520</v>
      </c>
      <c r="L232" s="47">
        <v>492</v>
      </c>
      <c r="M232" s="48">
        <v>214</v>
      </c>
      <c r="N232" s="48">
        <v>58</v>
      </c>
      <c r="O232" s="48">
        <f t="shared" si="0"/>
        <v>3152</v>
      </c>
    </row>
    <row r="233" spans="1:15" x14ac:dyDescent="0.25">
      <c r="A233" s="45" t="s">
        <v>27</v>
      </c>
      <c r="B233" s="46">
        <v>2016</v>
      </c>
      <c r="C233" s="47">
        <v>45</v>
      </c>
      <c r="D233" s="47">
        <v>22</v>
      </c>
      <c r="E233" s="47">
        <v>34</v>
      </c>
      <c r="F233" s="47">
        <v>1.9550000000000001</v>
      </c>
      <c r="G233" s="48">
        <v>1.7070000000000001</v>
      </c>
      <c r="H233" s="47">
        <v>3.2130000000000001</v>
      </c>
      <c r="I233" s="47">
        <v>5.3559999999999999</v>
      </c>
      <c r="J233" s="47">
        <v>6.6769999999999996</v>
      </c>
      <c r="K233" s="47">
        <v>5.2380000000000004</v>
      </c>
      <c r="L233" s="47">
        <v>4.8579999999999997</v>
      </c>
      <c r="M233" s="48">
        <v>2.109</v>
      </c>
      <c r="N233" s="48">
        <v>686</v>
      </c>
      <c r="O233" s="48">
        <f t="shared" si="0"/>
        <v>818.11300000000006</v>
      </c>
    </row>
    <row r="234" spans="1:15" x14ac:dyDescent="0.25">
      <c r="A234" s="45" t="s">
        <v>26</v>
      </c>
      <c r="B234" s="46">
        <v>2016</v>
      </c>
      <c r="C234" s="47">
        <v>4</v>
      </c>
      <c r="D234" s="47">
        <v>2</v>
      </c>
      <c r="E234" s="47">
        <v>3</v>
      </c>
      <c r="F234" s="47">
        <v>185</v>
      </c>
      <c r="G234" s="48">
        <v>162</v>
      </c>
      <c r="H234" s="47">
        <v>302</v>
      </c>
      <c r="I234" s="47">
        <v>482</v>
      </c>
      <c r="J234" s="47">
        <v>594</v>
      </c>
      <c r="K234" s="47">
        <v>483</v>
      </c>
      <c r="L234" s="47">
        <v>457</v>
      </c>
      <c r="M234" s="48">
        <v>199</v>
      </c>
      <c r="N234" s="48">
        <v>54</v>
      </c>
      <c r="O234" s="48">
        <f t="shared" si="0"/>
        <v>2927</v>
      </c>
    </row>
    <row r="235" spans="1:15" x14ac:dyDescent="0.25">
      <c r="A235" s="45" t="s">
        <v>29</v>
      </c>
      <c r="B235" s="46">
        <v>2016</v>
      </c>
      <c r="C235" s="47">
        <v>4</v>
      </c>
      <c r="D235" s="47">
        <v>2</v>
      </c>
      <c r="E235" s="47">
        <v>3</v>
      </c>
      <c r="F235" s="47">
        <v>169</v>
      </c>
      <c r="G235" s="48">
        <v>148</v>
      </c>
      <c r="H235" s="47">
        <v>276</v>
      </c>
      <c r="I235" s="47">
        <v>440</v>
      </c>
      <c r="J235" s="47">
        <v>543</v>
      </c>
      <c r="K235" s="47">
        <v>442</v>
      </c>
      <c r="L235" s="47">
        <v>418</v>
      </c>
      <c r="M235" s="48">
        <v>182</v>
      </c>
      <c r="N235" s="48">
        <v>50</v>
      </c>
      <c r="O235" s="48">
        <f t="shared" si="0"/>
        <v>2677</v>
      </c>
    </row>
    <row r="236" spans="1:15" x14ac:dyDescent="0.25">
      <c r="A236" s="45" t="s">
        <v>24</v>
      </c>
      <c r="B236" s="46">
        <v>2016</v>
      </c>
      <c r="C236" s="48">
        <v>5</v>
      </c>
      <c r="D236" s="48">
        <v>2</v>
      </c>
      <c r="E236" s="48">
        <v>4</v>
      </c>
      <c r="F236" s="48">
        <v>208</v>
      </c>
      <c r="G236" s="48">
        <v>182</v>
      </c>
      <c r="H236" s="48">
        <v>340</v>
      </c>
      <c r="I236" s="48">
        <v>541</v>
      </c>
      <c r="J236" s="48">
        <v>668</v>
      </c>
      <c r="K236" s="48">
        <v>543</v>
      </c>
      <c r="L236" s="48">
        <v>513</v>
      </c>
      <c r="M236" s="48">
        <v>224</v>
      </c>
      <c r="N236" s="48">
        <v>61</v>
      </c>
      <c r="O236" s="48">
        <f t="shared" si="0"/>
        <v>3291</v>
      </c>
    </row>
    <row r="237" spans="1:15" x14ac:dyDescent="0.25">
      <c r="A237" s="45" t="s">
        <v>4</v>
      </c>
      <c r="B237" s="46">
        <v>2016</v>
      </c>
      <c r="C237" s="47">
        <v>40</v>
      </c>
      <c r="D237" s="47">
        <v>34</v>
      </c>
      <c r="E237" s="47">
        <v>40</v>
      </c>
      <c r="F237" s="47">
        <v>1.4339999999999999</v>
      </c>
      <c r="G237" s="48">
        <v>1.3280000000000001</v>
      </c>
      <c r="H237" s="47">
        <v>2.4700000000000002</v>
      </c>
      <c r="I237" s="47">
        <v>3.7360000000000002</v>
      </c>
      <c r="J237" s="47">
        <v>4.5469999999999997</v>
      </c>
      <c r="K237" s="47">
        <v>3.6960000000000002</v>
      </c>
      <c r="L237" s="47">
        <v>3.4929999999999999</v>
      </c>
      <c r="M237" s="48">
        <v>1.532</v>
      </c>
      <c r="N237" s="48">
        <v>421</v>
      </c>
      <c r="O237" s="48">
        <f t="shared" si="0"/>
        <v>557.23599999999999</v>
      </c>
    </row>
    <row r="238" spans="1:15" x14ac:dyDescent="0.25">
      <c r="A238" s="45" t="s">
        <v>8</v>
      </c>
      <c r="B238" s="46">
        <v>2016</v>
      </c>
      <c r="C238" s="47">
        <v>176</v>
      </c>
      <c r="D238" s="47">
        <v>88</v>
      </c>
      <c r="E238" s="47">
        <v>132</v>
      </c>
      <c r="F238" s="47">
        <v>7.65</v>
      </c>
      <c r="G238" s="48">
        <v>6.6829999999999998</v>
      </c>
      <c r="H238" s="47">
        <v>12.486000000000001</v>
      </c>
      <c r="I238" s="47">
        <v>19.872</v>
      </c>
      <c r="J238" s="47">
        <v>24.533000000000001</v>
      </c>
      <c r="K238" s="47">
        <v>19.96</v>
      </c>
      <c r="L238" s="47">
        <v>18.861000000000001</v>
      </c>
      <c r="M238" s="48">
        <v>8.2210000000000001</v>
      </c>
      <c r="N238" s="48">
        <v>2.242</v>
      </c>
      <c r="O238" s="48">
        <f t="shared" si="0"/>
        <v>516.50799999999992</v>
      </c>
    </row>
    <row r="239" spans="1:15" x14ac:dyDescent="0.25">
      <c r="A239" s="45" t="s">
        <v>3</v>
      </c>
      <c r="B239" s="46">
        <v>2016</v>
      </c>
      <c r="C239" s="47">
        <v>108</v>
      </c>
      <c r="D239" s="47">
        <v>73</v>
      </c>
      <c r="E239" s="47">
        <v>97</v>
      </c>
      <c r="F239" s="47">
        <v>4.1609999999999996</v>
      </c>
      <c r="G239" s="48">
        <v>3.758</v>
      </c>
      <c r="H239" s="47">
        <v>7.0010000000000003</v>
      </c>
      <c r="I239" s="47">
        <v>10.824</v>
      </c>
      <c r="J239" s="47">
        <v>13.257</v>
      </c>
      <c r="K239" s="47">
        <v>10.781000000000001</v>
      </c>
      <c r="L239" s="47">
        <v>10.188000000000001</v>
      </c>
      <c r="M239" s="48">
        <v>4.4560000000000004</v>
      </c>
      <c r="N239" s="48">
        <v>1.2210000000000001</v>
      </c>
      <c r="O239" s="48">
        <f t="shared" si="0"/>
        <v>343.64699999999999</v>
      </c>
    </row>
    <row r="240" spans="1:15" ht="12.75" x14ac:dyDescent="0.2">
      <c r="A240" s="53"/>
      <c r="B240" s="33"/>
      <c r="C240" s="54"/>
      <c r="D240" s="54"/>
      <c r="E240" s="54"/>
      <c r="F240" s="54"/>
      <c r="G240" s="54"/>
      <c r="H240" s="54"/>
      <c r="I240" s="54"/>
      <c r="J240" s="55"/>
      <c r="K240" s="55"/>
      <c r="L240" s="55"/>
      <c r="M240" s="55"/>
      <c r="N240" s="55"/>
      <c r="O240" s="55"/>
    </row>
    <row r="241" spans="1:15" ht="12.75" x14ac:dyDescent="0.2">
      <c r="A241" s="53"/>
      <c r="B241" s="33"/>
      <c r="C241" s="54"/>
      <c r="D241" s="54"/>
      <c r="E241" s="54"/>
      <c r="F241" s="54"/>
      <c r="G241" s="54"/>
      <c r="H241" s="54"/>
      <c r="I241" s="54"/>
      <c r="J241" s="55"/>
      <c r="K241" s="55"/>
      <c r="L241" s="55"/>
      <c r="M241" s="55"/>
      <c r="N241" s="55"/>
      <c r="O241" s="55"/>
    </row>
    <row r="242" spans="1:15" ht="12.75" x14ac:dyDescent="0.2">
      <c r="A242" s="53"/>
      <c r="B242" s="33"/>
      <c r="C242" s="54"/>
      <c r="D242" s="54"/>
      <c r="E242" s="54"/>
      <c r="F242" s="54"/>
      <c r="G242" s="54"/>
      <c r="H242" s="54"/>
      <c r="I242" s="54"/>
      <c r="J242" s="55"/>
      <c r="K242" s="55"/>
      <c r="L242" s="55"/>
      <c r="M242" s="55"/>
      <c r="N242" s="55"/>
      <c r="O242" s="55"/>
    </row>
    <row r="243" spans="1:15" ht="12.75" x14ac:dyDescent="0.2">
      <c r="A243" s="53"/>
      <c r="B243" s="33"/>
      <c r="C243" s="54"/>
      <c r="D243" s="54"/>
      <c r="E243" s="54"/>
      <c r="F243" s="54"/>
      <c r="G243" s="54"/>
      <c r="H243" s="54"/>
      <c r="I243" s="54"/>
      <c r="J243" s="55"/>
      <c r="K243" s="55"/>
      <c r="L243" s="55"/>
      <c r="M243" s="55"/>
      <c r="N243" s="55"/>
      <c r="O243" s="55"/>
    </row>
    <row r="244" spans="1:15" ht="12.75" x14ac:dyDescent="0.2">
      <c r="A244" s="53"/>
      <c r="B244" s="33"/>
      <c r="C244" s="54"/>
      <c r="D244" s="54"/>
      <c r="E244" s="54"/>
      <c r="F244" s="54"/>
      <c r="G244" s="54"/>
      <c r="H244" s="54"/>
      <c r="I244" s="54"/>
      <c r="J244" s="55"/>
      <c r="K244" s="55"/>
      <c r="L244" s="55"/>
      <c r="M244" s="55"/>
      <c r="N244" s="55"/>
      <c r="O244" s="55"/>
    </row>
    <row r="245" spans="1:15" ht="12.75" x14ac:dyDescent="0.2">
      <c r="A245" s="53"/>
      <c r="B245" s="33"/>
      <c r="C245" s="54"/>
      <c r="D245" s="54"/>
      <c r="E245" s="54"/>
      <c r="F245" s="54"/>
      <c r="G245" s="54"/>
      <c r="H245" s="54"/>
      <c r="I245" s="54"/>
      <c r="J245" s="55"/>
      <c r="K245" s="55"/>
      <c r="L245" s="55"/>
      <c r="M245" s="55"/>
      <c r="N245" s="55"/>
      <c r="O245" s="55"/>
    </row>
    <row r="246" spans="1:15" ht="12.75" x14ac:dyDescent="0.2">
      <c r="A246" s="53"/>
      <c r="B246" s="33"/>
      <c r="C246" s="54"/>
      <c r="D246" s="54"/>
      <c r="E246" s="54"/>
      <c r="F246" s="54"/>
      <c r="G246" s="54"/>
      <c r="H246" s="54"/>
      <c r="I246" s="54"/>
      <c r="J246" s="55"/>
      <c r="K246" s="55"/>
      <c r="L246" s="55"/>
      <c r="M246" s="55"/>
      <c r="N246" s="55"/>
      <c r="O246" s="55"/>
    </row>
    <row r="247" spans="1:15" ht="12.75" x14ac:dyDescent="0.2">
      <c r="A247" s="53"/>
      <c r="B247" s="33"/>
      <c r="C247" s="54"/>
      <c r="D247" s="54"/>
      <c r="E247" s="54"/>
      <c r="F247" s="54"/>
      <c r="G247" s="54"/>
      <c r="H247" s="54"/>
      <c r="I247" s="54"/>
      <c r="J247" s="55"/>
      <c r="K247" s="55"/>
      <c r="L247" s="55"/>
      <c r="M247" s="55"/>
      <c r="N247" s="55"/>
      <c r="O247" s="55"/>
    </row>
    <row r="248" spans="1:15" ht="12.75" x14ac:dyDescent="0.2">
      <c r="A248" s="53"/>
      <c r="B248" s="33"/>
      <c r="C248" s="54"/>
      <c r="D248" s="54"/>
      <c r="E248" s="54"/>
      <c r="F248" s="54"/>
      <c r="G248" s="54"/>
      <c r="H248" s="54"/>
      <c r="I248" s="54"/>
      <c r="J248" s="55"/>
      <c r="K248" s="55"/>
      <c r="L248" s="55"/>
      <c r="M248" s="55"/>
      <c r="N248" s="55"/>
      <c r="O248" s="56"/>
    </row>
    <row r="249" spans="1:15" ht="12.75" x14ac:dyDescent="0.2">
      <c r="A249" s="53"/>
      <c r="B249" s="33"/>
      <c r="C249" s="54"/>
      <c r="D249" s="54"/>
      <c r="E249" s="54"/>
      <c r="F249" s="54"/>
      <c r="G249" s="54"/>
      <c r="H249" s="54"/>
      <c r="I249" s="54"/>
      <c r="J249" s="55"/>
      <c r="K249" s="55"/>
      <c r="L249" s="55"/>
      <c r="M249" s="55"/>
      <c r="N249" s="55"/>
      <c r="O249" s="56"/>
    </row>
    <row r="250" spans="1:15" ht="12.75" x14ac:dyDescent="0.2">
      <c r="A250" s="53"/>
      <c r="B250" s="33"/>
      <c r="C250" s="54"/>
      <c r="D250" s="54"/>
      <c r="E250" s="54"/>
      <c r="F250" s="54"/>
      <c r="G250" s="54"/>
      <c r="H250" s="54"/>
      <c r="I250" s="54"/>
      <c r="J250" s="55"/>
      <c r="K250" s="55"/>
      <c r="L250" s="55"/>
      <c r="M250" s="55"/>
      <c r="N250" s="55"/>
      <c r="O250" s="56"/>
    </row>
    <row r="251" spans="1:15" ht="12.75" x14ac:dyDescent="0.2">
      <c r="A251" s="53"/>
      <c r="B251" s="33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6"/>
    </row>
    <row r="252" spans="1:15" ht="12.75" x14ac:dyDescent="0.2">
      <c r="A252" s="53"/>
      <c r="B252" s="33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6"/>
    </row>
    <row r="253" spans="1:15" ht="12.75" x14ac:dyDescent="0.2">
      <c r="A253" s="53"/>
      <c r="B253" s="33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6"/>
    </row>
    <row r="254" spans="1:15" ht="12.75" x14ac:dyDescent="0.2">
      <c r="A254" s="53"/>
      <c r="B254" s="33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6"/>
    </row>
    <row r="255" spans="1:15" ht="12.75" x14ac:dyDescent="0.2">
      <c r="A255" s="53"/>
      <c r="B255" s="33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6"/>
    </row>
    <row r="256" spans="1:15" ht="12.75" x14ac:dyDescent="0.2">
      <c r="A256" s="53"/>
      <c r="B256" s="33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6"/>
    </row>
    <row r="257" spans="1:15" ht="12.75" x14ac:dyDescent="0.2">
      <c r="A257" s="53"/>
      <c r="B257" s="33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6"/>
    </row>
    <row r="258" spans="1:15" ht="12.75" x14ac:dyDescent="0.2">
      <c r="A258" s="53"/>
      <c r="B258" s="33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6"/>
    </row>
    <row r="259" spans="1:15" ht="12.75" x14ac:dyDescent="0.2">
      <c r="A259" s="53"/>
      <c r="B259" s="33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6"/>
    </row>
    <row r="260" spans="1:15" ht="12.75" x14ac:dyDescent="0.2">
      <c r="A260" s="53"/>
      <c r="B260" s="33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6"/>
    </row>
    <row r="261" spans="1:15" ht="12.75" x14ac:dyDescent="0.2">
      <c r="A261" s="53"/>
      <c r="B261" s="33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6"/>
    </row>
    <row r="262" spans="1:15" ht="12.75" x14ac:dyDescent="0.2">
      <c r="A262" s="53"/>
      <c r="B262" s="33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6"/>
    </row>
    <row r="263" spans="1:15" ht="12.75" x14ac:dyDescent="0.2">
      <c r="A263" s="53"/>
      <c r="B263" s="33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6"/>
    </row>
    <row r="264" spans="1:15" ht="12.75" x14ac:dyDescent="0.2">
      <c r="A264" s="53"/>
      <c r="B264" s="33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6"/>
    </row>
    <row r="265" spans="1:15" ht="12.75" x14ac:dyDescent="0.2">
      <c r="A265" s="53"/>
      <c r="B265" s="33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6"/>
    </row>
    <row r="266" spans="1:15" ht="12.75" x14ac:dyDescent="0.2">
      <c r="A266" s="53"/>
      <c r="B266" s="33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6"/>
    </row>
    <row r="267" spans="1:15" ht="12.75" x14ac:dyDescent="0.2">
      <c r="A267" s="53"/>
      <c r="B267" s="33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6"/>
    </row>
    <row r="268" spans="1:15" ht="12.75" x14ac:dyDescent="0.2">
      <c r="A268" s="53"/>
      <c r="B268" s="33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6"/>
    </row>
    <row r="269" spans="1:15" ht="12.75" x14ac:dyDescent="0.2">
      <c r="A269" s="53"/>
      <c r="B269" s="33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6"/>
    </row>
    <row r="270" spans="1:15" ht="12.75" x14ac:dyDescent="0.2">
      <c r="A270" s="53"/>
      <c r="B270" s="33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6"/>
    </row>
    <row r="271" spans="1:15" ht="12.75" x14ac:dyDescent="0.2">
      <c r="A271" s="53"/>
      <c r="B271" s="33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6"/>
    </row>
    <row r="272" spans="1:15" ht="12.75" x14ac:dyDescent="0.2">
      <c r="A272" s="53"/>
      <c r="B272" s="33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6"/>
    </row>
    <row r="273" spans="1:15" ht="12.75" x14ac:dyDescent="0.2">
      <c r="A273" s="53"/>
      <c r="B273" s="33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6"/>
    </row>
    <row r="274" spans="1:15" ht="12.75" x14ac:dyDescent="0.2">
      <c r="A274" s="53"/>
      <c r="B274" s="33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6"/>
    </row>
    <row r="275" spans="1:15" ht="12.75" x14ac:dyDescent="0.2">
      <c r="A275" s="53"/>
      <c r="B275" s="33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6"/>
    </row>
    <row r="276" spans="1:15" ht="12.75" x14ac:dyDescent="0.2">
      <c r="A276" s="53"/>
      <c r="B276" s="33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6"/>
    </row>
    <row r="277" spans="1:15" ht="12.75" x14ac:dyDescent="0.2">
      <c r="A277" s="53"/>
      <c r="B277" s="33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6"/>
    </row>
    <row r="278" spans="1:15" ht="12.75" x14ac:dyDescent="0.2">
      <c r="A278" s="53"/>
      <c r="B278" s="33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6"/>
    </row>
    <row r="279" spans="1:15" ht="12.75" x14ac:dyDescent="0.2">
      <c r="A279" s="53"/>
      <c r="B279" s="33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6"/>
    </row>
    <row r="280" spans="1:15" ht="12.75" x14ac:dyDescent="0.2">
      <c r="A280" s="53"/>
      <c r="B280" s="33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6"/>
    </row>
    <row r="281" spans="1:15" ht="12.75" x14ac:dyDescent="0.2">
      <c r="A281" s="53"/>
      <c r="B281" s="33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6"/>
    </row>
    <row r="282" spans="1:15" ht="12.75" x14ac:dyDescent="0.2">
      <c r="A282" s="53"/>
      <c r="B282" s="33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6"/>
    </row>
    <row r="283" spans="1:15" ht="12.75" x14ac:dyDescent="0.2">
      <c r="A283" s="53"/>
      <c r="B283" s="33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6"/>
    </row>
    <row r="284" spans="1:15" ht="12.75" x14ac:dyDescent="0.2">
      <c r="A284" s="53"/>
      <c r="B284" s="33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6"/>
    </row>
    <row r="285" spans="1:15" ht="12.75" x14ac:dyDescent="0.2">
      <c r="A285" s="53"/>
      <c r="B285" s="33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6"/>
    </row>
    <row r="286" spans="1:15" ht="12.75" x14ac:dyDescent="0.2">
      <c r="A286" s="53"/>
      <c r="B286" s="33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6"/>
    </row>
    <row r="287" spans="1:15" ht="12.75" x14ac:dyDescent="0.2">
      <c r="A287" s="53"/>
      <c r="B287" s="33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6"/>
    </row>
    <row r="288" spans="1:15" ht="12.75" x14ac:dyDescent="0.2">
      <c r="A288" s="53"/>
      <c r="B288" s="33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6"/>
    </row>
    <row r="289" spans="1:15" ht="12.75" x14ac:dyDescent="0.2">
      <c r="A289" s="53"/>
      <c r="B289" s="33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6"/>
    </row>
    <row r="290" spans="1:15" ht="12.75" x14ac:dyDescent="0.2">
      <c r="A290" s="53"/>
      <c r="B290" s="33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6"/>
    </row>
    <row r="291" spans="1:15" ht="12.75" x14ac:dyDescent="0.2">
      <c r="A291" s="53"/>
      <c r="B291" s="33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6"/>
    </row>
    <row r="292" spans="1:15" ht="12.75" x14ac:dyDescent="0.2">
      <c r="A292" s="53"/>
      <c r="B292" s="33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6"/>
    </row>
    <row r="293" spans="1:15" ht="12.75" x14ac:dyDescent="0.2">
      <c r="A293" s="53"/>
      <c r="B293" s="33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6"/>
    </row>
    <row r="294" spans="1:15" ht="12.75" x14ac:dyDescent="0.2">
      <c r="A294" s="53"/>
      <c r="B294" s="33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6"/>
    </row>
    <row r="295" spans="1:15" ht="12.75" x14ac:dyDescent="0.2">
      <c r="A295" s="53"/>
      <c r="B295" s="33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6"/>
    </row>
    <row r="296" spans="1:15" ht="12.75" x14ac:dyDescent="0.2">
      <c r="A296" s="53"/>
      <c r="B296" s="33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6"/>
    </row>
    <row r="297" spans="1:15" ht="12.75" x14ac:dyDescent="0.2">
      <c r="A297" s="53"/>
      <c r="B297" s="33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6"/>
    </row>
    <row r="298" spans="1:15" ht="12.75" x14ac:dyDescent="0.2">
      <c r="A298" s="53"/>
      <c r="B298" s="33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6"/>
    </row>
    <row r="299" spans="1:15" ht="12.75" x14ac:dyDescent="0.2">
      <c r="A299" s="53"/>
      <c r="B299" s="33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6"/>
    </row>
    <row r="300" spans="1:15" ht="12.75" x14ac:dyDescent="0.2">
      <c r="A300" s="53"/>
      <c r="B300" s="33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6"/>
    </row>
    <row r="301" spans="1:15" ht="12.75" x14ac:dyDescent="0.2">
      <c r="A301" s="53"/>
      <c r="B301" s="33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6"/>
    </row>
    <row r="302" spans="1:15" ht="12.75" x14ac:dyDescent="0.2">
      <c r="A302" s="53"/>
      <c r="B302" s="33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6"/>
    </row>
    <row r="303" spans="1:15" ht="12.75" x14ac:dyDescent="0.2">
      <c r="A303" s="53"/>
      <c r="B303" s="33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6"/>
    </row>
    <row r="304" spans="1:15" ht="12.75" x14ac:dyDescent="0.2">
      <c r="A304" s="53"/>
      <c r="B304" s="33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6"/>
    </row>
    <row r="305" spans="1:15" ht="12.75" x14ac:dyDescent="0.2">
      <c r="A305" s="53"/>
      <c r="B305" s="33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6"/>
    </row>
    <row r="306" spans="1:15" ht="12.75" x14ac:dyDescent="0.2">
      <c r="A306" s="53"/>
      <c r="B306" s="33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6"/>
    </row>
    <row r="307" spans="1:15" ht="12.75" x14ac:dyDescent="0.2">
      <c r="A307" s="53"/>
      <c r="B307" s="33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6"/>
    </row>
    <row r="308" spans="1:15" ht="12.75" x14ac:dyDescent="0.2">
      <c r="A308" s="53"/>
      <c r="B308" s="33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6"/>
    </row>
    <row r="309" spans="1:15" ht="12.75" x14ac:dyDescent="0.2">
      <c r="A309" s="53"/>
      <c r="B309" s="33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6"/>
    </row>
    <row r="310" spans="1:15" ht="12.75" x14ac:dyDescent="0.2">
      <c r="A310" s="53"/>
      <c r="B310" s="33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6"/>
    </row>
    <row r="311" spans="1:15" ht="12.75" x14ac:dyDescent="0.2">
      <c r="A311" s="53"/>
      <c r="B311" s="33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6"/>
    </row>
    <row r="312" spans="1:15" ht="12.75" x14ac:dyDescent="0.2">
      <c r="A312" s="53"/>
      <c r="B312" s="33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6"/>
    </row>
    <row r="313" spans="1:15" ht="12.75" x14ac:dyDescent="0.2">
      <c r="A313" s="53"/>
      <c r="B313" s="33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6"/>
    </row>
    <row r="314" spans="1:15" ht="12.75" x14ac:dyDescent="0.2">
      <c r="A314" s="53"/>
      <c r="B314" s="33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6"/>
    </row>
    <row r="315" spans="1:15" ht="12.75" x14ac:dyDescent="0.2">
      <c r="A315" s="53"/>
      <c r="B315" s="33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6"/>
    </row>
    <row r="316" spans="1:15" ht="12.75" x14ac:dyDescent="0.2">
      <c r="A316" s="53"/>
      <c r="B316" s="33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6"/>
    </row>
    <row r="317" spans="1:15" ht="12.75" x14ac:dyDescent="0.2">
      <c r="A317" s="53"/>
      <c r="B317" s="33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6"/>
    </row>
    <row r="318" spans="1:15" ht="12.75" x14ac:dyDescent="0.2">
      <c r="A318" s="53"/>
      <c r="B318" s="33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6"/>
    </row>
    <row r="319" spans="1:15" ht="12.75" x14ac:dyDescent="0.2">
      <c r="A319" s="53"/>
      <c r="B319" s="33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6"/>
    </row>
    <row r="320" spans="1:15" ht="12.75" x14ac:dyDescent="0.2">
      <c r="A320" s="53"/>
      <c r="B320" s="33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6"/>
    </row>
    <row r="321" spans="1:15" ht="12.75" x14ac:dyDescent="0.2">
      <c r="A321" s="53"/>
      <c r="B321" s="33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6"/>
    </row>
    <row r="322" spans="1:15" ht="12.75" x14ac:dyDescent="0.2">
      <c r="A322" s="53"/>
      <c r="B322" s="33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6"/>
    </row>
    <row r="323" spans="1:15" ht="12.75" x14ac:dyDescent="0.2">
      <c r="A323" s="53"/>
      <c r="B323" s="33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6"/>
    </row>
    <row r="324" spans="1:15" ht="12.75" x14ac:dyDescent="0.2">
      <c r="A324" s="53"/>
      <c r="B324" s="33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6"/>
    </row>
    <row r="325" spans="1:15" ht="12.75" x14ac:dyDescent="0.2">
      <c r="A325" s="53"/>
      <c r="B325" s="33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6"/>
    </row>
    <row r="326" spans="1:15" ht="12.75" x14ac:dyDescent="0.2">
      <c r="A326" s="53"/>
      <c r="B326" s="33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6"/>
    </row>
    <row r="327" spans="1:15" ht="12.75" x14ac:dyDescent="0.2">
      <c r="A327" s="53"/>
      <c r="B327" s="33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6"/>
    </row>
    <row r="328" spans="1:15" ht="12.75" x14ac:dyDescent="0.2">
      <c r="A328" s="53"/>
      <c r="B328" s="33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6"/>
    </row>
    <row r="329" spans="1:15" ht="12.75" x14ac:dyDescent="0.2">
      <c r="A329" s="53"/>
      <c r="B329" s="33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6"/>
    </row>
    <row r="330" spans="1:15" ht="12.75" x14ac:dyDescent="0.2">
      <c r="A330" s="53"/>
      <c r="B330" s="33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6"/>
    </row>
    <row r="331" spans="1:15" ht="12.75" x14ac:dyDescent="0.2">
      <c r="A331" s="53"/>
      <c r="B331" s="33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6"/>
    </row>
    <row r="332" spans="1:15" ht="12.75" x14ac:dyDescent="0.2">
      <c r="A332" s="53"/>
      <c r="B332" s="33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6"/>
    </row>
    <row r="333" spans="1:15" ht="12.75" x14ac:dyDescent="0.2">
      <c r="A333" s="53"/>
      <c r="B333" s="33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6"/>
    </row>
    <row r="334" spans="1:15" ht="12.75" x14ac:dyDescent="0.2">
      <c r="A334" s="53"/>
      <c r="B334" s="33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6"/>
    </row>
    <row r="335" spans="1:15" ht="12.75" x14ac:dyDescent="0.2">
      <c r="A335" s="53"/>
      <c r="B335" s="33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6"/>
    </row>
    <row r="336" spans="1:15" ht="12.75" x14ac:dyDescent="0.2">
      <c r="A336" s="53"/>
      <c r="B336" s="33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6"/>
    </row>
    <row r="337" spans="1:15" ht="12.75" x14ac:dyDescent="0.2">
      <c r="A337" s="53"/>
      <c r="B337" s="33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6"/>
    </row>
    <row r="338" spans="1:15" ht="12.75" x14ac:dyDescent="0.2">
      <c r="A338" s="53"/>
      <c r="B338" s="33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6"/>
    </row>
    <row r="339" spans="1:15" ht="12.75" x14ac:dyDescent="0.2">
      <c r="A339" s="53"/>
      <c r="B339" s="33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6"/>
    </row>
    <row r="340" spans="1:15" ht="12.75" x14ac:dyDescent="0.2">
      <c r="A340" s="53"/>
      <c r="B340" s="33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6"/>
    </row>
    <row r="341" spans="1:15" ht="12.75" x14ac:dyDescent="0.2">
      <c r="A341" s="53"/>
      <c r="B341" s="33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6"/>
    </row>
    <row r="342" spans="1:15" ht="12.75" x14ac:dyDescent="0.2">
      <c r="A342" s="53"/>
      <c r="B342" s="33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6"/>
    </row>
    <row r="343" spans="1:15" ht="12.75" x14ac:dyDescent="0.2">
      <c r="A343" s="53"/>
      <c r="B343" s="33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6"/>
    </row>
    <row r="344" spans="1:15" ht="12.75" x14ac:dyDescent="0.2">
      <c r="A344" s="53"/>
      <c r="B344" s="33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6"/>
    </row>
    <row r="345" spans="1:15" ht="12.75" x14ac:dyDescent="0.2">
      <c r="A345" s="53"/>
      <c r="B345" s="33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6"/>
    </row>
    <row r="346" spans="1:15" ht="12.75" x14ac:dyDescent="0.2">
      <c r="A346" s="53"/>
      <c r="B346" s="33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6"/>
    </row>
    <row r="347" spans="1:15" ht="12.75" x14ac:dyDescent="0.2">
      <c r="A347" s="53"/>
      <c r="B347" s="33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6"/>
    </row>
    <row r="348" spans="1:15" ht="12.75" x14ac:dyDescent="0.2">
      <c r="A348" s="53"/>
      <c r="B348" s="33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6"/>
    </row>
    <row r="349" spans="1:15" ht="12.75" x14ac:dyDescent="0.2">
      <c r="A349" s="53"/>
      <c r="B349" s="33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6"/>
    </row>
    <row r="350" spans="1:15" ht="12.75" x14ac:dyDescent="0.2">
      <c r="A350" s="53"/>
      <c r="B350" s="33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6"/>
    </row>
    <row r="351" spans="1:15" ht="12.75" x14ac:dyDescent="0.2">
      <c r="A351" s="53"/>
      <c r="B351" s="33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6"/>
    </row>
    <row r="352" spans="1:15" ht="12.75" x14ac:dyDescent="0.2">
      <c r="A352" s="53"/>
      <c r="B352" s="33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6"/>
    </row>
    <row r="353" spans="1:15" ht="12.75" x14ac:dyDescent="0.2">
      <c r="A353" s="53"/>
      <c r="B353" s="33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6"/>
    </row>
    <row r="354" spans="1:15" ht="12.75" x14ac:dyDescent="0.2">
      <c r="A354" s="53"/>
      <c r="B354" s="33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6"/>
    </row>
    <row r="355" spans="1:15" ht="12.75" x14ac:dyDescent="0.2">
      <c r="A355" s="53"/>
      <c r="B355" s="33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6"/>
    </row>
    <row r="356" spans="1:15" ht="12.75" x14ac:dyDescent="0.2">
      <c r="A356" s="53"/>
      <c r="B356" s="33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6"/>
    </row>
    <row r="357" spans="1:15" ht="12.75" x14ac:dyDescent="0.2">
      <c r="A357" s="53"/>
      <c r="B357" s="33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6"/>
    </row>
    <row r="358" spans="1:15" ht="12.75" x14ac:dyDescent="0.2">
      <c r="A358" s="53"/>
      <c r="B358" s="33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6"/>
    </row>
    <row r="359" spans="1:15" ht="12.75" x14ac:dyDescent="0.2">
      <c r="A359" s="53"/>
      <c r="B359" s="33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6"/>
    </row>
    <row r="360" spans="1:15" ht="12.75" x14ac:dyDescent="0.2">
      <c r="A360" s="53"/>
      <c r="B360" s="33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6"/>
    </row>
    <row r="361" spans="1:15" ht="12.75" x14ac:dyDescent="0.2">
      <c r="A361" s="53"/>
      <c r="B361" s="33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6"/>
    </row>
    <row r="362" spans="1:15" ht="12.75" x14ac:dyDescent="0.2">
      <c r="A362" s="53"/>
      <c r="B362" s="33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6"/>
    </row>
    <row r="363" spans="1:15" ht="12.75" x14ac:dyDescent="0.2">
      <c r="A363" s="53"/>
      <c r="B363" s="33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6"/>
    </row>
    <row r="364" spans="1:15" ht="12.75" x14ac:dyDescent="0.2">
      <c r="A364" s="53"/>
      <c r="B364" s="33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6"/>
    </row>
    <row r="365" spans="1:15" ht="12.75" x14ac:dyDescent="0.2">
      <c r="A365" s="53"/>
      <c r="B365" s="33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6"/>
    </row>
    <row r="366" spans="1:15" ht="12.75" x14ac:dyDescent="0.2">
      <c r="A366" s="53"/>
      <c r="B366" s="33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6"/>
    </row>
    <row r="367" spans="1:15" ht="12.75" x14ac:dyDescent="0.2">
      <c r="A367" s="53"/>
      <c r="B367" s="33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6"/>
    </row>
    <row r="368" spans="1:15" ht="12.75" x14ac:dyDescent="0.2">
      <c r="A368" s="53"/>
      <c r="B368" s="33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6"/>
    </row>
    <row r="369" spans="1:15" ht="12.75" x14ac:dyDescent="0.2">
      <c r="A369" s="53"/>
      <c r="B369" s="33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6"/>
    </row>
    <row r="370" spans="1:15" ht="12.75" x14ac:dyDescent="0.2">
      <c r="A370" s="53"/>
      <c r="B370" s="33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6"/>
    </row>
    <row r="371" spans="1:15" ht="12.75" x14ac:dyDescent="0.2">
      <c r="A371" s="53"/>
      <c r="B371" s="33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6"/>
    </row>
    <row r="372" spans="1:15" ht="12.75" x14ac:dyDescent="0.2">
      <c r="A372" s="53"/>
      <c r="B372" s="33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6"/>
    </row>
    <row r="373" spans="1:15" ht="12.75" x14ac:dyDescent="0.2">
      <c r="A373" s="53"/>
      <c r="B373" s="33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6"/>
    </row>
    <row r="374" spans="1:15" ht="12.75" x14ac:dyDescent="0.2">
      <c r="A374" s="53"/>
      <c r="B374" s="33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6"/>
    </row>
    <row r="375" spans="1:15" ht="12.75" x14ac:dyDescent="0.2">
      <c r="A375" s="53"/>
      <c r="B375" s="33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6"/>
    </row>
    <row r="376" spans="1:15" ht="12.75" x14ac:dyDescent="0.2">
      <c r="A376" s="53"/>
      <c r="B376" s="33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6"/>
    </row>
    <row r="377" spans="1:15" ht="12.75" x14ac:dyDescent="0.2">
      <c r="A377" s="53"/>
      <c r="B377" s="33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6"/>
    </row>
    <row r="378" spans="1:15" ht="12.75" x14ac:dyDescent="0.2">
      <c r="A378" s="53"/>
      <c r="B378" s="33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6"/>
    </row>
    <row r="379" spans="1:15" ht="12.75" x14ac:dyDescent="0.2">
      <c r="A379" s="53"/>
      <c r="B379" s="33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6"/>
    </row>
    <row r="380" spans="1:15" ht="12.75" x14ac:dyDescent="0.2">
      <c r="A380" s="53"/>
      <c r="B380" s="33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6"/>
    </row>
    <row r="381" spans="1:15" ht="12.75" x14ac:dyDescent="0.2">
      <c r="A381" s="53"/>
      <c r="B381" s="33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6"/>
    </row>
    <row r="382" spans="1:15" ht="12.75" x14ac:dyDescent="0.2">
      <c r="A382" s="53"/>
      <c r="B382" s="33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6"/>
    </row>
    <row r="383" spans="1:15" ht="12.75" x14ac:dyDescent="0.2">
      <c r="A383" s="53"/>
      <c r="B383" s="33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6"/>
    </row>
    <row r="384" spans="1:15" ht="12.75" x14ac:dyDescent="0.2">
      <c r="A384" s="53"/>
      <c r="B384" s="33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6"/>
    </row>
    <row r="385" spans="1:15" ht="12.75" x14ac:dyDescent="0.2">
      <c r="A385" s="53"/>
      <c r="B385" s="33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6"/>
    </row>
    <row r="386" spans="1:15" ht="12.75" x14ac:dyDescent="0.2">
      <c r="A386" s="53"/>
      <c r="B386" s="33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6"/>
    </row>
    <row r="387" spans="1:15" ht="12.75" x14ac:dyDescent="0.2">
      <c r="A387" s="53"/>
      <c r="B387" s="33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6"/>
    </row>
    <row r="388" spans="1:15" ht="12.75" x14ac:dyDescent="0.2">
      <c r="A388" s="53"/>
      <c r="B388" s="33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6"/>
    </row>
    <row r="389" spans="1:15" ht="12.75" x14ac:dyDescent="0.2">
      <c r="A389" s="53"/>
      <c r="B389" s="33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6"/>
    </row>
    <row r="390" spans="1:15" ht="12.75" x14ac:dyDescent="0.2">
      <c r="A390" s="53"/>
      <c r="B390" s="33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6"/>
    </row>
    <row r="391" spans="1:15" ht="12.75" x14ac:dyDescent="0.2">
      <c r="A391" s="53"/>
      <c r="B391" s="33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6"/>
    </row>
    <row r="392" spans="1:15" ht="12.75" x14ac:dyDescent="0.2">
      <c r="A392" s="53"/>
      <c r="B392" s="33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6"/>
    </row>
    <row r="393" spans="1:15" ht="12.75" x14ac:dyDescent="0.2">
      <c r="A393" s="53"/>
      <c r="B393" s="33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6"/>
    </row>
    <row r="394" spans="1:15" ht="12.75" x14ac:dyDescent="0.2">
      <c r="A394" s="53"/>
      <c r="B394" s="33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6"/>
    </row>
    <row r="395" spans="1:15" ht="12.75" x14ac:dyDescent="0.2">
      <c r="A395" s="53"/>
      <c r="B395" s="33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6"/>
    </row>
    <row r="396" spans="1:15" ht="12.75" x14ac:dyDescent="0.2">
      <c r="A396" s="53"/>
      <c r="B396" s="33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6"/>
    </row>
    <row r="397" spans="1:15" ht="12.75" x14ac:dyDescent="0.2">
      <c r="A397" s="53"/>
      <c r="B397" s="33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6"/>
    </row>
    <row r="398" spans="1:15" ht="12.75" x14ac:dyDescent="0.2">
      <c r="A398" s="53"/>
      <c r="B398" s="33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6"/>
    </row>
    <row r="399" spans="1:15" ht="12.75" x14ac:dyDescent="0.2">
      <c r="A399" s="53"/>
      <c r="B399" s="33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6"/>
    </row>
    <row r="400" spans="1:15" ht="12.75" x14ac:dyDescent="0.2">
      <c r="A400" s="53"/>
      <c r="B400" s="33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6"/>
    </row>
    <row r="401" spans="1:15" ht="12.75" x14ac:dyDescent="0.2">
      <c r="A401" s="53"/>
      <c r="B401" s="33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6"/>
    </row>
    <row r="402" spans="1:15" ht="12.75" x14ac:dyDescent="0.2">
      <c r="A402" s="53"/>
      <c r="B402" s="33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6"/>
    </row>
    <row r="403" spans="1:15" ht="12.75" x14ac:dyDescent="0.2">
      <c r="A403" s="53"/>
      <c r="B403" s="33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6"/>
    </row>
    <row r="404" spans="1:15" ht="12.75" x14ac:dyDescent="0.2">
      <c r="A404" s="53"/>
      <c r="B404" s="33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6"/>
    </row>
    <row r="405" spans="1:15" ht="12.75" x14ac:dyDescent="0.2">
      <c r="A405" s="53"/>
      <c r="B405" s="33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6"/>
    </row>
    <row r="406" spans="1:15" ht="12.75" x14ac:dyDescent="0.2">
      <c r="A406" s="53"/>
      <c r="B406" s="33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6"/>
    </row>
    <row r="407" spans="1:15" ht="12.75" x14ac:dyDescent="0.2">
      <c r="A407" s="53"/>
      <c r="B407" s="33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6"/>
    </row>
    <row r="408" spans="1:15" ht="12.75" x14ac:dyDescent="0.2">
      <c r="A408" s="53"/>
      <c r="B408" s="33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6"/>
    </row>
    <row r="409" spans="1:15" ht="12.75" x14ac:dyDescent="0.2">
      <c r="A409" s="53"/>
      <c r="B409" s="33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6"/>
    </row>
    <row r="410" spans="1:15" ht="12.75" x14ac:dyDescent="0.2">
      <c r="A410" s="53"/>
      <c r="B410" s="33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6"/>
    </row>
    <row r="411" spans="1:15" ht="12.75" x14ac:dyDescent="0.2">
      <c r="A411" s="53"/>
      <c r="B411" s="33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6"/>
    </row>
    <row r="412" spans="1:15" ht="12.75" x14ac:dyDescent="0.2">
      <c r="A412" s="53"/>
      <c r="B412" s="33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6"/>
    </row>
    <row r="413" spans="1:15" ht="12.75" x14ac:dyDescent="0.2">
      <c r="A413" s="53"/>
      <c r="B413" s="33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6"/>
    </row>
    <row r="414" spans="1:15" ht="12.75" x14ac:dyDescent="0.2">
      <c r="A414" s="53"/>
      <c r="B414" s="33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6"/>
    </row>
    <row r="415" spans="1:15" ht="12.75" x14ac:dyDescent="0.2">
      <c r="A415" s="53"/>
      <c r="B415" s="33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6"/>
    </row>
    <row r="416" spans="1:15" ht="12.75" x14ac:dyDescent="0.2">
      <c r="A416" s="53"/>
      <c r="B416" s="33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6"/>
    </row>
    <row r="417" spans="1:15" ht="12.75" x14ac:dyDescent="0.2">
      <c r="A417" s="53"/>
      <c r="B417" s="33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6"/>
    </row>
    <row r="418" spans="1:15" ht="12.75" x14ac:dyDescent="0.2">
      <c r="A418" s="53"/>
      <c r="B418" s="33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6"/>
    </row>
    <row r="419" spans="1:15" ht="12.75" x14ac:dyDescent="0.2">
      <c r="A419" s="53"/>
      <c r="B419" s="33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6"/>
    </row>
    <row r="420" spans="1:15" ht="12.75" x14ac:dyDescent="0.2">
      <c r="A420" s="53"/>
      <c r="B420" s="33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6"/>
    </row>
    <row r="421" spans="1:15" ht="12.75" x14ac:dyDescent="0.2">
      <c r="A421" s="53"/>
      <c r="B421" s="33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6"/>
    </row>
    <row r="422" spans="1:15" ht="12.75" x14ac:dyDescent="0.2">
      <c r="A422" s="53"/>
      <c r="B422" s="33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6"/>
    </row>
    <row r="423" spans="1:15" ht="12.75" x14ac:dyDescent="0.2">
      <c r="A423" s="53"/>
      <c r="B423" s="33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6"/>
    </row>
    <row r="424" spans="1:15" ht="12.75" x14ac:dyDescent="0.2">
      <c r="A424" s="53"/>
      <c r="B424" s="33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6"/>
    </row>
    <row r="425" spans="1:15" ht="12.75" x14ac:dyDescent="0.2">
      <c r="A425" s="53"/>
      <c r="B425" s="33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6"/>
    </row>
    <row r="426" spans="1:15" ht="12.75" x14ac:dyDescent="0.2">
      <c r="A426" s="53"/>
      <c r="B426" s="33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6"/>
    </row>
    <row r="427" spans="1:15" ht="12.75" x14ac:dyDescent="0.2">
      <c r="A427" s="53"/>
      <c r="B427" s="33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6"/>
    </row>
    <row r="428" spans="1:15" ht="12.75" x14ac:dyDescent="0.2">
      <c r="A428" s="53"/>
      <c r="B428" s="33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6"/>
    </row>
    <row r="429" spans="1:15" ht="12.75" x14ac:dyDescent="0.2">
      <c r="A429" s="53"/>
      <c r="B429" s="33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6"/>
    </row>
    <row r="430" spans="1:15" ht="12.75" x14ac:dyDescent="0.2">
      <c r="A430" s="53"/>
      <c r="B430" s="33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6"/>
    </row>
    <row r="431" spans="1:15" ht="12.75" x14ac:dyDescent="0.2">
      <c r="A431" s="53"/>
      <c r="B431" s="33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6"/>
    </row>
    <row r="432" spans="1:15" ht="12.75" x14ac:dyDescent="0.2">
      <c r="A432" s="53"/>
      <c r="B432" s="33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6"/>
    </row>
    <row r="433" spans="1:15" ht="12.75" x14ac:dyDescent="0.2">
      <c r="A433" s="53"/>
      <c r="B433" s="33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6"/>
    </row>
    <row r="434" spans="1:15" ht="12.75" x14ac:dyDescent="0.2">
      <c r="A434" s="53"/>
      <c r="B434" s="33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6"/>
    </row>
    <row r="435" spans="1:15" ht="12.75" x14ac:dyDescent="0.2">
      <c r="A435" s="53"/>
      <c r="B435" s="33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6"/>
    </row>
    <row r="436" spans="1:15" ht="12.75" x14ac:dyDescent="0.2">
      <c r="A436" s="53"/>
      <c r="B436" s="33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6"/>
    </row>
    <row r="437" spans="1:15" ht="12.75" x14ac:dyDescent="0.2">
      <c r="A437" s="53"/>
      <c r="B437" s="33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6"/>
    </row>
    <row r="438" spans="1:15" ht="12.75" x14ac:dyDescent="0.2">
      <c r="A438" s="53"/>
      <c r="B438" s="33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6"/>
    </row>
    <row r="439" spans="1:15" ht="12.75" x14ac:dyDescent="0.2">
      <c r="A439" s="53"/>
      <c r="B439" s="33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6"/>
    </row>
    <row r="440" spans="1:15" ht="12.75" x14ac:dyDescent="0.2">
      <c r="A440" s="53"/>
      <c r="B440" s="33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6"/>
    </row>
    <row r="441" spans="1:15" ht="12.75" x14ac:dyDescent="0.2">
      <c r="A441" s="53"/>
      <c r="B441" s="33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6"/>
    </row>
    <row r="442" spans="1:15" ht="12.75" x14ac:dyDescent="0.2">
      <c r="A442" s="53"/>
      <c r="B442" s="33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6"/>
    </row>
    <row r="443" spans="1:15" ht="12.75" x14ac:dyDescent="0.2">
      <c r="A443" s="53"/>
      <c r="B443" s="33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6"/>
    </row>
    <row r="444" spans="1:15" ht="12.75" x14ac:dyDescent="0.2">
      <c r="A444" s="53"/>
      <c r="B444" s="33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6"/>
    </row>
    <row r="445" spans="1:15" ht="12.75" x14ac:dyDescent="0.2">
      <c r="A445" s="53"/>
      <c r="B445" s="33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6"/>
    </row>
    <row r="446" spans="1:15" ht="12.75" x14ac:dyDescent="0.2">
      <c r="A446" s="53"/>
      <c r="B446" s="33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6"/>
    </row>
    <row r="447" spans="1:15" ht="12.75" x14ac:dyDescent="0.2">
      <c r="A447" s="53"/>
      <c r="B447" s="33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6"/>
    </row>
    <row r="448" spans="1:15" ht="12.75" x14ac:dyDescent="0.2">
      <c r="A448" s="53"/>
      <c r="B448" s="33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6"/>
    </row>
    <row r="449" spans="1:15" ht="12.75" x14ac:dyDescent="0.2">
      <c r="A449" s="53"/>
      <c r="B449" s="33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6"/>
    </row>
    <row r="450" spans="1:15" ht="12.75" x14ac:dyDescent="0.2">
      <c r="A450" s="53"/>
      <c r="B450" s="33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6"/>
    </row>
    <row r="451" spans="1:15" ht="12.75" x14ac:dyDescent="0.2">
      <c r="A451" s="53"/>
      <c r="B451" s="33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6"/>
    </row>
    <row r="452" spans="1:15" ht="12.75" x14ac:dyDescent="0.2">
      <c r="A452" s="53"/>
      <c r="B452" s="33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6"/>
    </row>
    <row r="453" spans="1:15" ht="12.75" x14ac:dyDescent="0.2">
      <c r="A453" s="53"/>
      <c r="B453" s="33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6"/>
    </row>
    <row r="454" spans="1:15" ht="12.75" x14ac:dyDescent="0.2">
      <c r="A454" s="53"/>
      <c r="B454" s="33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6"/>
    </row>
    <row r="455" spans="1:15" ht="12.75" x14ac:dyDescent="0.2">
      <c r="A455" s="53"/>
      <c r="B455" s="33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6"/>
    </row>
    <row r="456" spans="1:15" ht="12.75" x14ac:dyDescent="0.2">
      <c r="A456" s="53"/>
      <c r="B456" s="33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6"/>
    </row>
    <row r="457" spans="1:15" ht="12.75" x14ac:dyDescent="0.2">
      <c r="A457" s="53"/>
      <c r="B457" s="33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6"/>
    </row>
    <row r="458" spans="1:15" ht="12.75" x14ac:dyDescent="0.2">
      <c r="A458" s="53"/>
      <c r="B458" s="33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6"/>
    </row>
    <row r="459" spans="1:15" ht="12.75" x14ac:dyDescent="0.2">
      <c r="A459" s="53"/>
      <c r="B459" s="33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6"/>
    </row>
    <row r="460" spans="1:15" ht="12.75" x14ac:dyDescent="0.2">
      <c r="A460" s="53"/>
      <c r="B460" s="33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6"/>
    </row>
    <row r="461" spans="1:15" ht="12.75" x14ac:dyDescent="0.2">
      <c r="A461" s="53"/>
      <c r="B461" s="33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6"/>
    </row>
    <row r="462" spans="1:15" ht="12.75" x14ac:dyDescent="0.2">
      <c r="A462" s="53"/>
      <c r="B462" s="33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6"/>
    </row>
    <row r="463" spans="1:15" ht="12.75" x14ac:dyDescent="0.2">
      <c r="A463" s="53"/>
      <c r="B463" s="33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6"/>
    </row>
    <row r="464" spans="1:15" ht="12.75" x14ac:dyDescent="0.2">
      <c r="A464" s="53"/>
      <c r="B464" s="33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6"/>
    </row>
    <row r="465" spans="1:15" ht="12.75" x14ac:dyDescent="0.2">
      <c r="A465" s="53"/>
      <c r="B465" s="33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6"/>
    </row>
    <row r="466" spans="1:15" ht="12.75" x14ac:dyDescent="0.2">
      <c r="A466" s="53"/>
      <c r="B466" s="33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6"/>
    </row>
    <row r="467" spans="1:15" ht="12.75" x14ac:dyDescent="0.2">
      <c r="A467" s="53"/>
      <c r="B467" s="33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6"/>
    </row>
    <row r="468" spans="1:15" ht="12.75" x14ac:dyDescent="0.2">
      <c r="A468" s="53"/>
      <c r="B468" s="33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6"/>
    </row>
    <row r="469" spans="1:15" ht="12.75" x14ac:dyDescent="0.2">
      <c r="A469" s="53"/>
      <c r="B469" s="33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6"/>
    </row>
    <row r="470" spans="1:15" ht="12.75" x14ac:dyDescent="0.2">
      <c r="A470" s="53"/>
      <c r="B470" s="33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6"/>
    </row>
    <row r="471" spans="1:15" ht="12.75" x14ac:dyDescent="0.2">
      <c r="A471" s="53"/>
      <c r="B471" s="33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6"/>
    </row>
    <row r="472" spans="1:15" ht="12.75" x14ac:dyDescent="0.2">
      <c r="A472" s="53"/>
      <c r="B472" s="33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6"/>
    </row>
    <row r="473" spans="1:15" ht="12.75" x14ac:dyDescent="0.2">
      <c r="A473" s="53"/>
      <c r="B473" s="33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6"/>
    </row>
    <row r="474" spans="1:15" ht="12.75" x14ac:dyDescent="0.2">
      <c r="A474" s="53"/>
      <c r="B474" s="33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6"/>
    </row>
    <row r="475" spans="1:15" ht="12.75" x14ac:dyDescent="0.2">
      <c r="A475" s="53"/>
      <c r="B475" s="33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6"/>
    </row>
    <row r="476" spans="1:15" ht="12.75" x14ac:dyDescent="0.2">
      <c r="A476" s="53"/>
      <c r="B476" s="33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6"/>
    </row>
    <row r="477" spans="1:15" ht="12.75" x14ac:dyDescent="0.2">
      <c r="A477" s="53"/>
      <c r="B477" s="33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6"/>
    </row>
    <row r="478" spans="1:15" ht="12.75" x14ac:dyDescent="0.2">
      <c r="A478" s="53"/>
      <c r="B478" s="33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6"/>
    </row>
    <row r="479" spans="1:15" ht="12.75" x14ac:dyDescent="0.2">
      <c r="A479" s="53"/>
      <c r="B479" s="33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6"/>
    </row>
    <row r="480" spans="1:15" ht="12.75" x14ac:dyDescent="0.2">
      <c r="A480" s="53"/>
      <c r="B480" s="33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6"/>
    </row>
    <row r="481" spans="1:15" ht="12.75" x14ac:dyDescent="0.2">
      <c r="A481" s="53"/>
      <c r="B481" s="33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6"/>
    </row>
    <row r="482" spans="1:15" ht="12.75" x14ac:dyDescent="0.2">
      <c r="A482" s="53"/>
      <c r="B482" s="33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6"/>
    </row>
    <row r="483" spans="1:15" ht="12.75" x14ac:dyDescent="0.2">
      <c r="A483" s="53"/>
      <c r="B483" s="33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6"/>
    </row>
    <row r="484" spans="1:15" ht="12.75" x14ac:dyDescent="0.2">
      <c r="A484" s="53"/>
      <c r="B484" s="33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6"/>
    </row>
    <row r="485" spans="1:15" ht="12.75" x14ac:dyDescent="0.2">
      <c r="A485" s="53"/>
      <c r="B485" s="33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6"/>
    </row>
    <row r="486" spans="1:15" ht="12.75" x14ac:dyDescent="0.2">
      <c r="A486" s="53"/>
      <c r="B486" s="33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6"/>
    </row>
    <row r="487" spans="1:15" ht="12.75" x14ac:dyDescent="0.2">
      <c r="A487" s="53"/>
      <c r="B487" s="33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6"/>
    </row>
    <row r="488" spans="1:15" ht="12.75" x14ac:dyDescent="0.2">
      <c r="A488" s="53"/>
      <c r="B488" s="33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6"/>
    </row>
    <row r="489" spans="1:15" ht="12.75" x14ac:dyDescent="0.2">
      <c r="A489" s="53"/>
      <c r="B489" s="33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6"/>
    </row>
    <row r="490" spans="1:15" ht="12.75" x14ac:dyDescent="0.2">
      <c r="A490" s="53"/>
      <c r="B490" s="33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6"/>
    </row>
    <row r="491" spans="1:15" ht="12.75" x14ac:dyDescent="0.2">
      <c r="A491" s="53"/>
      <c r="B491" s="33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6"/>
    </row>
    <row r="492" spans="1:15" ht="12.75" x14ac:dyDescent="0.2">
      <c r="A492" s="53"/>
      <c r="B492" s="33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6"/>
    </row>
    <row r="493" spans="1:15" ht="12.75" x14ac:dyDescent="0.2">
      <c r="A493" s="53"/>
      <c r="B493" s="33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6"/>
    </row>
    <row r="494" spans="1:15" ht="12.75" x14ac:dyDescent="0.2">
      <c r="A494" s="53"/>
      <c r="B494" s="33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6"/>
    </row>
    <row r="495" spans="1:15" ht="12.75" x14ac:dyDescent="0.2">
      <c r="A495" s="53"/>
      <c r="B495" s="33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6"/>
    </row>
    <row r="496" spans="1:15" ht="12.75" x14ac:dyDescent="0.2">
      <c r="A496" s="53"/>
      <c r="B496" s="33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6"/>
    </row>
    <row r="497" spans="1:15" ht="12.75" x14ac:dyDescent="0.2">
      <c r="A497" s="53"/>
      <c r="B497" s="33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6"/>
    </row>
    <row r="498" spans="1:15" ht="12.75" x14ac:dyDescent="0.2">
      <c r="A498" s="53"/>
      <c r="B498" s="33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6"/>
    </row>
    <row r="499" spans="1:15" ht="12.75" x14ac:dyDescent="0.2">
      <c r="A499" s="53"/>
      <c r="B499" s="33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6"/>
    </row>
    <row r="500" spans="1:15" ht="12.75" x14ac:dyDescent="0.2">
      <c r="A500" s="53"/>
      <c r="B500" s="33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6"/>
    </row>
    <row r="501" spans="1:15" ht="12.75" x14ac:dyDescent="0.2">
      <c r="A501" s="53"/>
      <c r="B501" s="33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6"/>
    </row>
    <row r="502" spans="1:15" ht="12.75" x14ac:dyDescent="0.2">
      <c r="A502" s="53"/>
      <c r="B502" s="33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6"/>
    </row>
    <row r="503" spans="1:15" ht="12.75" x14ac:dyDescent="0.2">
      <c r="A503" s="53"/>
      <c r="B503" s="33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6"/>
    </row>
    <row r="504" spans="1:15" ht="12.75" x14ac:dyDescent="0.2">
      <c r="A504" s="53"/>
      <c r="B504" s="33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6"/>
    </row>
    <row r="505" spans="1:15" ht="12.75" x14ac:dyDescent="0.2">
      <c r="A505" s="53"/>
      <c r="B505" s="33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6"/>
    </row>
    <row r="506" spans="1:15" ht="12.75" x14ac:dyDescent="0.2">
      <c r="A506" s="53"/>
      <c r="B506" s="33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6"/>
    </row>
    <row r="507" spans="1:15" ht="12.75" x14ac:dyDescent="0.2">
      <c r="A507" s="53"/>
      <c r="B507" s="33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6"/>
    </row>
    <row r="508" spans="1:15" ht="12.75" x14ac:dyDescent="0.2">
      <c r="A508" s="53"/>
      <c r="B508" s="33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6"/>
    </row>
    <row r="509" spans="1:15" ht="12.75" x14ac:dyDescent="0.2">
      <c r="A509" s="53"/>
      <c r="B509" s="33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6"/>
    </row>
    <row r="510" spans="1:15" ht="12.75" x14ac:dyDescent="0.2">
      <c r="A510" s="53"/>
      <c r="B510" s="33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6"/>
    </row>
    <row r="511" spans="1:15" ht="12.75" x14ac:dyDescent="0.2">
      <c r="A511" s="53"/>
      <c r="B511" s="33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6"/>
    </row>
    <row r="512" spans="1:15" ht="12.75" x14ac:dyDescent="0.2">
      <c r="A512" s="53"/>
      <c r="B512" s="33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6"/>
    </row>
    <row r="513" spans="1:15" ht="12.75" x14ac:dyDescent="0.2">
      <c r="A513" s="53"/>
      <c r="B513" s="33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6"/>
    </row>
    <row r="514" spans="1:15" ht="12.75" x14ac:dyDescent="0.2">
      <c r="A514" s="53"/>
      <c r="B514" s="33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6"/>
    </row>
    <row r="515" spans="1:15" ht="12.75" x14ac:dyDescent="0.2">
      <c r="A515" s="53"/>
      <c r="B515" s="33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6"/>
    </row>
    <row r="516" spans="1:15" ht="12.75" x14ac:dyDescent="0.2">
      <c r="A516" s="53"/>
      <c r="B516" s="33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6"/>
    </row>
    <row r="517" spans="1:15" ht="12.75" x14ac:dyDescent="0.2">
      <c r="A517" s="53"/>
      <c r="B517" s="33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6"/>
    </row>
    <row r="518" spans="1:15" ht="12.75" x14ac:dyDescent="0.2">
      <c r="A518" s="53"/>
      <c r="B518" s="33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6"/>
    </row>
    <row r="519" spans="1:15" ht="12.75" x14ac:dyDescent="0.2">
      <c r="A519" s="53"/>
      <c r="B519" s="33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6"/>
    </row>
    <row r="520" spans="1:15" ht="12.75" x14ac:dyDescent="0.2">
      <c r="A520" s="53"/>
      <c r="B520" s="33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6"/>
    </row>
    <row r="521" spans="1:15" ht="12.75" x14ac:dyDescent="0.2">
      <c r="A521" s="53"/>
      <c r="B521" s="33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6"/>
    </row>
    <row r="522" spans="1:15" ht="12.75" x14ac:dyDescent="0.2">
      <c r="A522" s="53"/>
      <c r="B522" s="33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6"/>
    </row>
    <row r="523" spans="1:15" ht="12.75" x14ac:dyDescent="0.2">
      <c r="A523" s="53"/>
      <c r="B523" s="33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6"/>
    </row>
    <row r="524" spans="1:15" ht="12.75" x14ac:dyDescent="0.2">
      <c r="A524" s="53"/>
      <c r="B524" s="33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6"/>
    </row>
    <row r="525" spans="1:15" ht="12.75" x14ac:dyDescent="0.2">
      <c r="A525" s="53"/>
      <c r="B525" s="33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6"/>
    </row>
    <row r="526" spans="1:15" ht="12.75" x14ac:dyDescent="0.2">
      <c r="A526" s="53"/>
      <c r="B526" s="33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6"/>
    </row>
    <row r="527" spans="1:15" ht="12.75" x14ac:dyDescent="0.2">
      <c r="A527" s="53"/>
      <c r="B527" s="33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6"/>
    </row>
    <row r="528" spans="1:15" ht="12.75" x14ac:dyDescent="0.2">
      <c r="A528" s="53"/>
      <c r="B528" s="33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6"/>
    </row>
    <row r="529" spans="1:15" ht="12.75" x14ac:dyDescent="0.2">
      <c r="A529" s="53"/>
      <c r="B529" s="33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6"/>
    </row>
    <row r="530" spans="1:15" ht="12.75" x14ac:dyDescent="0.2">
      <c r="A530" s="53"/>
      <c r="B530" s="33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6"/>
    </row>
    <row r="531" spans="1:15" ht="12.75" x14ac:dyDescent="0.2">
      <c r="A531" s="53"/>
      <c r="B531" s="33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6"/>
    </row>
    <row r="532" spans="1:15" ht="12.75" x14ac:dyDescent="0.2">
      <c r="A532" s="53"/>
      <c r="B532" s="33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6"/>
    </row>
    <row r="533" spans="1:15" ht="12.75" x14ac:dyDescent="0.2">
      <c r="A533" s="53"/>
      <c r="B533" s="33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6"/>
    </row>
    <row r="534" spans="1:15" ht="12.75" x14ac:dyDescent="0.2">
      <c r="A534" s="53"/>
      <c r="B534" s="33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6"/>
    </row>
    <row r="535" spans="1:15" ht="12.75" x14ac:dyDescent="0.2">
      <c r="A535" s="53"/>
      <c r="B535" s="33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6"/>
    </row>
    <row r="536" spans="1:15" ht="12.75" x14ac:dyDescent="0.2">
      <c r="A536" s="53"/>
      <c r="B536" s="33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6"/>
    </row>
    <row r="537" spans="1:15" ht="12.75" x14ac:dyDescent="0.2">
      <c r="A537" s="53"/>
      <c r="B537" s="33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6"/>
    </row>
    <row r="538" spans="1:15" ht="12.75" x14ac:dyDescent="0.2">
      <c r="A538" s="53"/>
      <c r="B538" s="33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6"/>
    </row>
    <row r="539" spans="1:15" ht="12.75" x14ac:dyDescent="0.2">
      <c r="A539" s="53"/>
      <c r="B539" s="33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6"/>
    </row>
    <row r="540" spans="1:15" ht="12.75" x14ac:dyDescent="0.2">
      <c r="A540" s="53"/>
      <c r="B540" s="33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6"/>
    </row>
    <row r="541" spans="1:15" ht="12.75" x14ac:dyDescent="0.2">
      <c r="A541" s="53"/>
      <c r="B541" s="33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6"/>
    </row>
    <row r="542" spans="1:15" ht="12.75" x14ac:dyDescent="0.2">
      <c r="A542" s="53"/>
      <c r="B542" s="33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6"/>
    </row>
    <row r="543" spans="1:15" ht="12.75" x14ac:dyDescent="0.2">
      <c r="A543" s="53"/>
      <c r="B543" s="33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6"/>
    </row>
    <row r="544" spans="1:15" ht="12.75" x14ac:dyDescent="0.2">
      <c r="A544" s="53"/>
      <c r="B544" s="33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6"/>
    </row>
    <row r="545" spans="1:15" ht="12.75" x14ac:dyDescent="0.2">
      <c r="A545" s="53"/>
      <c r="B545" s="33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6"/>
    </row>
    <row r="546" spans="1:15" ht="12.75" x14ac:dyDescent="0.2">
      <c r="A546" s="53"/>
      <c r="B546" s="33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6"/>
    </row>
    <row r="547" spans="1:15" ht="12.75" x14ac:dyDescent="0.2">
      <c r="A547" s="53"/>
      <c r="B547" s="33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6"/>
    </row>
    <row r="548" spans="1:15" ht="12.75" x14ac:dyDescent="0.2">
      <c r="A548" s="53"/>
      <c r="B548" s="33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6"/>
    </row>
    <row r="549" spans="1:15" ht="12.75" x14ac:dyDescent="0.2">
      <c r="A549" s="53"/>
      <c r="B549" s="33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6"/>
    </row>
    <row r="550" spans="1:15" ht="12.75" x14ac:dyDescent="0.2">
      <c r="A550" s="53"/>
      <c r="B550" s="33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6"/>
    </row>
    <row r="551" spans="1:15" ht="12.75" x14ac:dyDescent="0.2">
      <c r="A551" s="53"/>
      <c r="B551" s="33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6"/>
    </row>
    <row r="552" spans="1:15" ht="12.75" x14ac:dyDescent="0.2">
      <c r="A552" s="53"/>
      <c r="B552" s="33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6"/>
    </row>
    <row r="553" spans="1:15" ht="12.75" x14ac:dyDescent="0.2">
      <c r="A553" s="53"/>
      <c r="B553" s="33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6"/>
    </row>
    <row r="554" spans="1:15" ht="12.75" x14ac:dyDescent="0.2">
      <c r="A554" s="53"/>
      <c r="B554" s="33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6"/>
    </row>
    <row r="555" spans="1:15" ht="12.75" x14ac:dyDescent="0.2">
      <c r="A555" s="53"/>
      <c r="B555" s="33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6"/>
    </row>
    <row r="556" spans="1:15" ht="12.75" x14ac:dyDescent="0.2">
      <c r="A556" s="53"/>
      <c r="B556" s="33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6"/>
    </row>
    <row r="557" spans="1:15" ht="12.75" x14ac:dyDescent="0.2">
      <c r="A557" s="53"/>
      <c r="B557" s="33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6"/>
    </row>
    <row r="558" spans="1:15" ht="12.75" x14ac:dyDescent="0.2">
      <c r="A558" s="53"/>
      <c r="B558" s="33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6"/>
    </row>
    <row r="559" spans="1:15" ht="12.75" x14ac:dyDescent="0.2">
      <c r="A559" s="53"/>
      <c r="B559" s="33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6"/>
    </row>
    <row r="560" spans="1:15" ht="12.75" x14ac:dyDescent="0.2">
      <c r="A560" s="53"/>
      <c r="B560" s="33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6"/>
    </row>
    <row r="561" spans="1:15" ht="12.75" x14ac:dyDescent="0.2">
      <c r="A561" s="53"/>
      <c r="B561" s="33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6"/>
    </row>
    <row r="562" spans="1:15" ht="12.75" x14ac:dyDescent="0.2">
      <c r="A562" s="53"/>
      <c r="B562" s="33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6"/>
    </row>
    <row r="563" spans="1:15" ht="12.75" x14ac:dyDescent="0.2">
      <c r="A563" s="53"/>
      <c r="B563" s="33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6"/>
    </row>
    <row r="564" spans="1:15" ht="12.75" x14ac:dyDescent="0.2">
      <c r="A564" s="53"/>
      <c r="B564" s="33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6"/>
    </row>
    <row r="565" spans="1:15" ht="12.75" x14ac:dyDescent="0.2">
      <c r="A565" s="53"/>
      <c r="B565" s="33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6"/>
    </row>
    <row r="566" spans="1:15" ht="12.75" x14ac:dyDescent="0.2">
      <c r="A566" s="53"/>
      <c r="B566" s="33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6"/>
    </row>
    <row r="567" spans="1:15" ht="12.75" x14ac:dyDescent="0.2">
      <c r="A567" s="53"/>
      <c r="B567" s="33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6"/>
    </row>
    <row r="568" spans="1:15" ht="12.75" x14ac:dyDescent="0.2">
      <c r="A568" s="53"/>
      <c r="B568" s="33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6"/>
    </row>
    <row r="569" spans="1:15" ht="12.75" x14ac:dyDescent="0.2">
      <c r="A569" s="53"/>
      <c r="B569" s="33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6"/>
    </row>
    <row r="570" spans="1:15" ht="12.75" x14ac:dyDescent="0.2">
      <c r="A570" s="53"/>
      <c r="B570" s="33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6"/>
    </row>
    <row r="571" spans="1:15" ht="12.75" x14ac:dyDescent="0.2">
      <c r="A571" s="53"/>
      <c r="B571" s="33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6"/>
    </row>
    <row r="572" spans="1:15" ht="12.75" x14ac:dyDescent="0.2">
      <c r="A572" s="53"/>
      <c r="B572" s="33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6"/>
    </row>
    <row r="573" spans="1:15" ht="12.75" x14ac:dyDescent="0.2">
      <c r="A573" s="53"/>
      <c r="B573" s="33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6"/>
    </row>
    <row r="574" spans="1:15" ht="12.75" x14ac:dyDescent="0.2">
      <c r="A574" s="53"/>
      <c r="B574" s="33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6"/>
    </row>
    <row r="575" spans="1:15" ht="12.75" x14ac:dyDescent="0.2">
      <c r="A575" s="53"/>
      <c r="B575" s="33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6"/>
    </row>
    <row r="576" spans="1:15" ht="12.75" x14ac:dyDescent="0.2">
      <c r="A576" s="53"/>
      <c r="B576" s="33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6"/>
    </row>
    <row r="577" spans="1:15" ht="12.75" x14ac:dyDescent="0.2">
      <c r="A577" s="53"/>
      <c r="B577" s="33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6"/>
    </row>
    <row r="578" spans="1:15" ht="12.75" x14ac:dyDescent="0.2">
      <c r="A578" s="53"/>
      <c r="B578" s="33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6"/>
    </row>
    <row r="579" spans="1:15" ht="12.75" x14ac:dyDescent="0.2">
      <c r="A579" s="53"/>
      <c r="B579" s="33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6"/>
    </row>
    <row r="580" spans="1:15" ht="12.75" x14ac:dyDescent="0.2">
      <c r="A580" s="53"/>
      <c r="B580" s="33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6"/>
    </row>
    <row r="581" spans="1:15" ht="12.75" x14ac:dyDescent="0.2">
      <c r="A581" s="53"/>
      <c r="B581" s="33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6"/>
    </row>
    <row r="582" spans="1:15" ht="12.75" x14ac:dyDescent="0.2">
      <c r="A582" s="53"/>
      <c r="B582" s="33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6"/>
    </row>
    <row r="583" spans="1:15" ht="12.75" x14ac:dyDescent="0.2">
      <c r="A583" s="53"/>
      <c r="B583" s="33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6"/>
    </row>
    <row r="584" spans="1:15" ht="12.75" x14ac:dyDescent="0.2">
      <c r="A584" s="53"/>
      <c r="B584" s="33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6"/>
    </row>
    <row r="585" spans="1:15" ht="12.75" x14ac:dyDescent="0.2">
      <c r="A585" s="53"/>
      <c r="B585" s="33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6"/>
    </row>
    <row r="586" spans="1:15" ht="12.75" x14ac:dyDescent="0.2">
      <c r="A586" s="53"/>
      <c r="B586" s="33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6"/>
    </row>
    <row r="587" spans="1:15" ht="12.75" x14ac:dyDescent="0.2">
      <c r="A587" s="53"/>
      <c r="B587" s="33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6"/>
    </row>
    <row r="588" spans="1:15" ht="12.75" x14ac:dyDescent="0.2">
      <c r="A588" s="53"/>
      <c r="B588" s="33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6"/>
    </row>
    <row r="589" spans="1:15" ht="12.75" x14ac:dyDescent="0.2">
      <c r="A589" s="53"/>
      <c r="B589" s="33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6"/>
    </row>
    <row r="590" spans="1:15" ht="12.75" x14ac:dyDescent="0.2">
      <c r="A590" s="53"/>
      <c r="B590" s="33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6"/>
    </row>
    <row r="591" spans="1:15" ht="12.75" x14ac:dyDescent="0.2">
      <c r="A591" s="53"/>
      <c r="B591" s="33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6"/>
    </row>
    <row r="592" spans="1:15" ht="12.75" x14ac:dyDescent="0.2">
      <c r="A592" s="53"/>
      <c r="B592" s="33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6"/>
    </row>
    <row r="593" spans="1:15" ht="12.75" x14ac:dyDescent="0.2">
      <c r="A593" s="53"/>
      <c r="B593" s="33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6"/>
    </row>
    <row r="594" spans="1:15" ht="12.75" x14ac:dyDescent="0.2">
      <c r="A594" s="53"/>
      <c r="B594" s="33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6"/>
    </row>
    <row r="595" spans="1:15" ht="12.75" x14ac:dyDescent="0.2">
      <c r="A595" s="53"/>
      <c r="B595" s="33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6"/>
    </row>
    <row r="596" spans="1:15" ht="12.75" x14ac:dyDescent="0.2">
      <c r="A596" s="53"/>
      <c r="B596" s="33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6"/>
    </row>
    <row r="597" spans="1:15" ht="12.75" x14ac:dyDescent="0.2">
      <c r="A597" s="53"/>
      <c r="B597" s="33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6"/>
    </row>
    <row r="598" spans="1:15" ht="12.75" x14ac:dyDescent="0.2">
      <c r="A598" s="53"/>
      <c r="B598" s="33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6"/>
    </row>
    <row r="599" spans="1:15" ht="12.75" x14ac:dyDescent="0.2">
      <c r="A599" s="53"/>
      <c r="B599" s="33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6"/>
    </row>
    <row r="600" spans="1:15" ht="12.75" x14ac:dyDescent="0.2">
      <c r="A600" s="53"/>
      <c r="B600" s="33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6"/>
    </row>
    <row r="601" spans="1:15" ht="12.75" x14ac:dyDescent="0.2">
      <c r="A601" s="53"/>
      <c r="B601" s="33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6"/>
    </row>
    <row r="602" spans="1:15" ht="12.75" x14ac:dyDescent="0.2">
      <c r="A602" s="53"/>
      <c r="B602" s="33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6"/>
    </row>
    <row r="603" spans="1:15" ht="12.75" x14ac:dyDescent="0.2">
      <c r="A603" s="53"/>
      <c r="B603" s="33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6"/>
    </row>
    <row r="604" spans="1:15" ht="12.75" x14ac:dyDescent="0.2">
      <c r="A604" s="53"/>
      <c r="B604" s="33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6"/>
    </row>
    <row r="605" spans="1:15" ht="12.75" x14ac:dyDescent="0.2">
      <c r="A605" s="53"/>
      <c r="B605" s="33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6"/>
    </row>
    <row r="606" spans="1:15" ht="12.75" x14ac:dyDescent="0.2">
      <c r="A606" s="53"/>
      <c r="B606" s="33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6"/>
    </row>
    <row r="607" spans="1:15" ht="12.75" x14ac:dyDescent="0.2">
      <c r="A607" s="53"/>
      <c r="B607" s="33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6"/>
    </row>
    <row r="608" spans="1:15" ht="12.75" x14ac:dyDescent="0.2">
      <c r="A608" s="53"/>
      <c r="B608" s="33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6"/>
    </row>
    <row r="609" spans="1:15" ht="12.75" x14ac:dyDescent="0.2">
      <c r="A609" s="53"/>
      <c r="B609" s="33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6"/>
    </row>
    <row r="610" spans="1:15" ht="12.75" x14ac:dyDescent="0.2">
      <c r="A610" s="53"/>
      <c r="B610" s="33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6"/>
    </row>
    <row r="611" spans="1:15" ht="12.75" x14ac:dyDescent="0.2">
      <c r="A611" s="53"/>
      <c r="B611" s="33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6"/>
    </row>
    <row r="612" spans="1:15" ht="12.75" x14ac:dyDescent="0.2">
      <c r="A612" s="53"/>
      <c r="B612" s="33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6"/>
    </row>
    <row r="613" spans="1:15" ht="12.75" x14ac:dyDescent="0.2">
      <c r="A613" s="53"/>
      <c r="B613" s="33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6"/>
    </row>
    <row r="614" spans="1:15" ht="12.75" x14ac:dyDescent="0.2">
      <c r="A614" s="53"/>
      <c r="B614" s="33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6"/>
    </row>
    <row r="615" spans="1:15" ht="12.75" x14ac:dyDescent="0.2">
      <c r="A615" s="53"/>
      <c r="B615" s="33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6"/>
    </row>
    <row r="616" spans="1:15" ht="12.75" x14ac:dyDescent="0.2">
      <c r="A616" s="53"/>
      <c r="B616" s="33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6"/>
    </row>
    <row r="617" spans="1:15" ht="12.75" x14ac:dyDescent="0.2">
      <c r="A617" s="53"/>
      <c r="B617" s="33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6"/>
    </row>
    <row r="618" spans="1:15" ht="12.75" x14ac:dyDescent="0.2">
      <c r="A618" s="53"/>
      <c r="B618" s="33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6"/>
    </row>
    <row r="619" spans="1:15" ht="12.75" x14ac:dyDescent="0.2">
      <c r="A619" s="53"/>
      <c r="B619" s="33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6"/>
    </row>
    <row r="620" spans="1:15" ht="12.75" x14ac:dyDescent="0.2">
      <c r="A620" s="53"/>
      <c r="B620" s="33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6"/>
    </row>
    <row r="621" spans="1:15" ht="12.75" x14ac:dyDescent="0.2">
      <c r="A621" s="53"/>
      <c r="B621" s="33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6"/>
    </row>
    <row r="622" spans="1:15" ht="12.75" x14ac:dyDescent="0.2">
      <c r="A622" s="53"/>
      <c r="B622" s="33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6"/>
    </row>
    <row r="623" spans="1:15" ht="12.75" x14ac:dyDescent="0.2">
      <c r="A623" s="53"/>
      <c r="B623" s="33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6"/>
    </row>
    <row r="624" spans="1:15" ht="12.75" x14ac:dyDescent="0.2">
      <c r="A624" s="53"/>
      <c r="B624" s="33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6"/>
    </row>
    <row r="625" spans="1:15" ht="12.75" x14ac:dyDescent="0.2">
      <c r="A625" s="53"/>
      <c r="B625" s="33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6"/>
    </row>
    <row r="626" spans="1:15" ht="12.75" x14ac:dyDescent="0.2">
      <c r="A626" s="53"/>
      <c r="B626" s="33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6"/>
    </row>
    <row r="627" spans="1:15" ht="12.75" x14ac:dyDescent="0.2">
      <c r="A627" s="53"/>
      <c r="B627" s="33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6"/>
    </row>
    <row r="628" spans="1:15" ht="12.75" x14ac:dyDescent="0.2">
      <c r="A628" s="53"/>
      <c r="B628" s="33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6"/>
    </row>
    <row r="629" spans="1:15" ht="12.75" x14ac:dyDescent="0.2">
      <c r="A629" s="53"/>
      <c r="B629" s="33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6"/>
    </row>
    <row r="630" spans="1:15" ht="12.75" x14ac:dyDescent="0.2">
      <c r="A630" s="53"/>
      <c r="B630" s="33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6"/>
    </row>
    <row r="631" spans="1:15" ht="12.75" x14ac:dyDescent="0.2">
      <c r="A631" s="53"/>
      <c r="B631" s="33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6"/>
    </row>
    <row r="632" spans="1:15" ht="12.75" x14ac:dyDescent="0.2">
      <c r="A632" s="53"/>
      <c r="B632" s="33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6"/>
    </row>
    <row r="633" spans="1:15" ht="12.75" x14ac:dyDescent="0.2">
      <c r="A633" s="53"/>
      <c r="B633" s="33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6"/>
    </row>
    <row r="634" spans="1:15" ht="12.75" x14ac:dyDescent="0.2">
      <c r="A634" s="53"/>
      <c r="B634" s="33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6"/>
    </row>
    <row r="635" spans="1:15" ht="12.75" x14ac:dyDescent="0.2">
      <c r="A635" s="53"/>
      <c r="B635" s="33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6"/>
    </row>
    <row r="636" spans="1:15" ht="12.75" x14ac:dyDescent="0.2">
      <c r="A636" s="53"/>
      <c r="B636" s="33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6"/>
    </row>
    <row r="637" spans="1:15" ht="12.75" x14ac:dyDescent="0.2">
      <c r="A637" s="53"/>
      <c r="B637" s="33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6"/>
    </row>
    <row r="638" spans="1:15" ht="12.75" x14ac:dyDescent="0.2">
      <c r="A638" s="53"/>
      <c r="B638" s="33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6"/>
    </row>
    <row r="639" spans="1:15" ht="12.75" x14ac:dyDescent="0.2">
      <c r="A639" s="53"/>
      <c r="B639" s="33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6"/>
    </row>
    <row r="640" spans="1:15" ht="12.75" x14ac:dyDescent="0.2">
      <c r="A640" s="53"/>
      <c r="B640" s="33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6"/>
    </row>
    <row r="641" spans="1:15" ht="12.75" x14ac:dyDescent="0.2">
      <c r="A641" s="53"/>
      <c r="B641" s="33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6"/>
    </row>
    <row r="642" spans="1:15" ht="12.75" x14ac:dyDescent="0.2">
      <c r="A642" s="53"/>
      <c r="B642" s="33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6"/>
    </row>
    <row r="643" spans="1:15" ht="12.75" x14ac:dyDescent="0.2">
      <c r="A643" s="53"/>
      <c r="B643" s="33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6"/>
    </row>
    <row r="644" spans="1:15" ht="12.75" x14ac:dyDescent="0.2">
      <c r="A644" s="53"/>
      <c r="B644" s="33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6"/>
    </row>
    <row r="645" spans="1:15" ht="12.75" x14ac:dyDescent="0.2">
      <c r="A645" s="53"/>
      <c r="B645" s="33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6"/>
    </row>
    <row r="646" spans="1:15" ht="12.75" x14ac:dyDescent="0.2">
      <c r="A646" s="53"/>
      <c r="B646" s="33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6"/>
    </row>
    <row r="647" spans="1:15" ht="12.75" x14ac:dyDescent="0.2">
      <c r="A647" s="53"/>
      <c r="B647" s="33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6"/>
    </row>
    <row r="648" spans="1:15" ht="12.75" x14ac:dyDescent="0.2">
      <c r="A648" s="53"/>
      <c r="B648" s="33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6"/>
    </row>
    <row r="649" spans="1:15" ht="12.75" x14ac:dyDescent="0.2">
      <c r="A649" s="53"/>
      <c r="B649" s="33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6"/>
    </row>
    <row r="650" spans="1:15" ht="12.75" x14ac:dyDescent="0.2">
      <c r="A650" s="53"/>
      <c r="B650" s="33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6"/>
    </row>
    <row r="651" spans="1:15" ht="12.75" x14ac:dyDescent="0.2">
      <c r="A651" s="53"/>
      <c r="B651" s="33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6"/>
    </row>
    <row r="652" spans="1:15" ht="12.75" x14ac:dyDescent="0.2">
      <c r="A652" s="53"/>
      <c r="B652" s="33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6"/>
    </row>
    <row r="653" spans="1:15" ht="12.75" x14ac:dyDescent="0.2">
      <c r="A653" s="53"/>
      <c r="B653" s="33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6"/>
    </row>
    <row r="654" spans="1:15" ht="12.75" x14ac:dyDescent="0.2">
      <c r="A654" s="53"/>
      <c r="B654" s="33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6"/>
    </row>
    <row r="655" spans="1:15" ht="12.75" x14ac:dyDescent="0.2">
      <c r="A655" s="53"/>
      <c r="B655" s="33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6"/>
    </row>
    <row r="656" spans="1:15" ht="12.75" x14ac:dyDescent="0.2">
      <c r="A656" s="53"/>
      <c r="B656" s="33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6"/>
    </row>
    <row r="657" spans="1:15" ht="12.75" x14ac:dyDescent="0.2">
      <c r="A657" s="53"/>
      <c r="B657" s="33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6"/>
    </row>
    <row r="658" spans="1:15" ht="12.75" x14ac:dyDescent="0.2">
      <c r="A658" s="53"/>
      <c r="B658" s="33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6"/>
    </row>
    <row r="659" spans="1:15" ht="12.75" x14ac:dyDescent="0.2">
      <c r="A659" s="53"/>
      <c r="B659" s="33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6"/>
    </row>
    <row r="660" spans="1:15" ht="12.75" x14ac:dyDescent="0.2">
      <c r="A660" s="53"/>
      <c r="B660" s="33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6"/>
    </row>
    <row r="661" spans="1:15" ht="12.75" x14ac:dyDescent="0.2">
      <c r="A661" s="53"/>
      <c r="B661" s="33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6"/>
    </row>
    <row r="662" spans="1:15" ht="12.75" x14ac:dyDescent="0.2">
      <c r="A662" s="53"/>
      <c r="B662" s="33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6"/>
    </row>
    <row r="663" spans="1:15" ht="12.75" x14ac:dyDescent="0.2">
      <c r="A663" s="53"/>
      <c r="B663" s="33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6"/>
    </row>
    <row r="664" spans="1:15" ht="12.75" x14ac:dyDescent="0.2">
      <c r="A664" s="53"/>
      <c r="B664" s="33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6"/>
    </row>
    <row r="665" spans="1:15" ht="12.75" x14ac:dyDescent="0.2">
      <c r="A665" s="53"/>
      <c r="B665" s="33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6"/>
    </row>
    <row r="666" spans="1:15" ht="12.75" x14ac:dyDescent="0.2">
      <c r="A666" s="53"/>
      <c r="B666" s="33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6"/>
    </row>
    <row r="667" spans="1:15" ht="12.75" x14ac:dyDescent="0.2">
      <c r="A667" s="53"/>
      <c r="B667" s="33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6"/>
    </row>
    <row r="668" spans="1:15" ht="12.75" x14ac:dyDescent="0.2">
      <c r="A668" s="53"/>
      <c r="B668" s="33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6"/>
    </row>
    <row r="669" spans="1:15" ht="12.75" x14ac:dyDescent="0.2">
      <c r="A669" s="53"/>
      <c r="B669" s="33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6"/>
    </row>
    <row r="670" spans="1:15" ht="12.75" x14ac:dyDescent="0.2">
      <c r="A670" s="53"/>
      <c r="B670" s="33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6"/>
    </row>
    <row r="671" spans="1:15" ht="12.75" x14ac:dyDescent="0.2">
      <c r="A671" s="53"/>
      <c r="B671" s="33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6"/>
    </row>
    <row r="672" spans="1:15" ht="12.75" x14ac:dyDescent="0.2">
      <c r="A672" s="53"/>
      <c r="B672" s="33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6"/>
    </row>
    <row r="673" spans="1:15" ht="12.75" x14ac:dyDescent="0.2">
      <c r="A673" s="53"/>
      <c r="B673" s="33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6"/>
    </row>
    <row r="674" spans="1:15" ht="12.75" x14ac:dyDescent="0.2">
      <c r="A674" s="53"/>
      <c r="B674" s="33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6"/>
    </row>
    <row r="675" spans="1:15" ht="12.75" x14ac:dyDescent="0.2">
      <c r="A675" s="53"/>
      <c r="B675" s="33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6"/>
    </row>
    <row r="676" spans="1:15" ht="12.75" x14ac:dyDescent="0.2">
      <c r="A676" s="53"/>
      <c r="B676" s="33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6"/>
    </row>
    <row r="677" spans="1:15" ht="12.75" x14ac:dyDescent="0.2">
      <c r="A677" s="53"/>
      <c r="B677" s="33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6"/>
    </row>
    <row r="678" spans="1:15" ht="12.75" x14ac:dyDescent="0.2">
      <c r="A678" s="53"/>
      <c r="B678" s="33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6"/>
    </row>
    <row r="679" spans="1:15" ht="12.75" x14ac:dyDescent="0.2">
      <c r="A679" s="53"/>
      <c r="B679" s="33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6"/>
    </row>
    <row r="680" spans="1:15" ht="12.75" x14ac:dyDescent="0.2">
      <c r="A680" s="53"/>
      <c r="B680" s="33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6"/>
    </row>
    <row r="681" spans="1:15" ht="12.75" x14ac:dyDescent="0.2">
      <c r="A681" s="53"/>
      <c r="B681" s="33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6"/>
    </row>
    <row r="682" spans="1:15" ht="12.75" x14ac:dyDescent="0.2">
      <c r="A682" s="53"/>
      <c r="B682" s="33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6"/>
    </row>
    <row r="683" spans="1:15" ht="12.75" x14ac:dyDescent="0.2">
      <c r="A683" s="53"/>
      <c r="B683" s="33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6"/>
    </row>
    <row r="684" spans="1:15" ht="12.75" x14ac:dyDescent="0.2">
      <c r="A684" s="53"/>
      <c r="B684" s="33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6"/>
    </row>
    <row r="685" spans="1:15" ht="12.75" x14ac:dyDescent="0.2">
      <c r="A685" s="53"/>
      <c r="B685" s="33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6"/>
    </row>
    <row r="686" spans="1:15" ht="12.75" x14ac:dyDescent="0.2">
      <c r="A686" s="53"/>
      <c r="B686" s="33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6"/>
    </row>
    <row r="687" spans="1:15" ht="12.75" x14ac:dyDescent="0.2">
      <c r="A687" s="53"/>
      <c r="B687" s="33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6"/>
    </row>
    <row r="688" spans="1:15" ht="12.75" x14ac:dyDescent="0.2">
      <c r="A688" s="53"/>
      <c r="B688" s="33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6"/>
    </row>
    <row r="689" spans="1:15" ht="12.75" x14ac:dyDescent="0.2">
      <c r="A689" s="53"/>
      <c r="B689" s="33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6"/>
    </row>
    <row r="690" spans="1:15" ht="12.75" x14ac:dyDescent="0.2">
      <c r="A690" s="53"/>
      <c r="B690" s="33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6"/>
    </row>
    <row r="691" spans="1:15" ht="12.75" x14ac:dyDescent="0.2">
      <c r="A691" s="53"/>
      <c r="B691" s="33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6"/>
    </row>
    <row r="692" spans="1:15" ht="12.75" x14ac:dyDescent="0.2">
      <c r="A692" s="53"/>
      <c r="B692" s="33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6"/>
    </row>
    <row r="693" spans="1:15" ht="12.75" x14ac:dyDescent="0.2">
      <c r="A693" s="53"/>
      <c r="B693" s="33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6"/>
    </row>
    <row r="694" spans="1:15" ht="12.75" x14ac:dyDescent="0.2">
      <c r="A694" s="53"/>
      <c r="B694" s="33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6"/>
    </row>
    <row r="695" spans="1:15" ht="12.75" x14ac:dyDescent="0.2">
      <c r="A695" s="53"/>
      <c r="B695" s="33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6"/>
    </row>
    <row r="696" spans="1:15" ht="12.75" x14ac:dyDescent="0.2">
      <c r="A696" s="53"/>
      <c r="B696" s="33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6"/>
    </row>
    <row r="697" spans="1:15" ht="12.75" x14ac:dyDescent="0.2">
      <c r="A697" s="53"/>
      <c r="B697" s="33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6"/>
    </row>
    <row r="698" spans="1:15" ht="12.75" x14ac:dyDescent="0.2">
      <c r="A698" s="53"/>
      <c r="B698" s="33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6"/>
    </row>
    <row r="699" spans="1:15" ht="12.75" x14ac:dyDescent="0.2">
      <c r="A699" s="53"/>
      <c r="B699" s="33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6"/>
    </row>
    <row r="700" spans="1:15" ht="12.75" x14ac:dyDescent="0.2">
      <c r="A700" s="53"/>
      <c r="B700" s="33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6"/>
    </row>
    <row r="701" spans="1:15" ht="12.75" x14ac:dyDescent="0.2">
      <c r="A701" s="53"/>
      <c r="B701" s="33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6"/>
    </row>
    <row r="702" spans="1:15" ht="12.75" x14ac:dyDescent="0.2">
      <c r="A702" s="53"/>
      <c r="B702" s="33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6"/>
    </row>
    <row r="703" spans="1:15" ht="12.75" x14ac:dyDescent="0.2">
      <c r="A703" s="53"/>
      <c r="B703" s="33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6"/>
    </row>
    <row r="704" spans="1:15" ht="12.75" x14ac:dyDescent="0.2">
      <c r="A704" s="53"/>
      <c r="B704" s="33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6"/>
    </row>
    <row r="705" spans="1:15" ht="12.75" x14ac:dyDescent="0.2">
      <c r="A705" s="53"/>
      <c r="B705" s="33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6"/>
    </row>
    <row r="706" spans="1:15" ht="12.75" x14ac:dyDescent="0.2">
      <c r="A706" s="53"/>
      <c r="B706" s="33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6"/>
    </row>
    <row r="707" spans="1:15" ht="12.75" x14ac:dyDescent="0.2">
      <c r="A707" s="53"/>
      <c r="B707" s="33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6"/>
    </row>
    <row r="708" spans="1:15" ht="12.75" x14ac:dyDescent="0.2">
      <c r="A708" s="53"/>
      <c r="B708" s="33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6"/>
    </row>
    <row r="709" spans="1:15" ht="12.75" x14ac:dyDescent="0.2">
      <c r="A709" s="53"/>
      <c r="B709" s="33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6"/>
    </row>
    <row r="710" spans="1:15" ht="12.75" x14ac:dyDescent="0.2">
      <c r="A710" s="53"/>
      <c r="B710" s="33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6"/>
    </row>
    <row r="711" spans="1:15" ht="12.75" x14ac:dyDescent="0.2">
      <c r="A711" s="53"/>
      <c r="B711" s="33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6"/>
    </row>
    <row r="712" spans="1:15" ht="12.75" x14ac:dyDescent="0.2">
      <c r="A712" s="53"/>
      <c r="B712" s="33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6"/>
    </row>
    <row r="713" spans="1:15" ht="12.75" x14ac:dyDescent="0.2">
      <c r="A713" s="53"/>
      <c r="B713" s="33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6"/>
    </row>
    <row r="714" spans="1:15" ht="12.75" x14ac:dyDescent="0.2">
      <c r="A714" s="53"/>
      <c r="B714" s="33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6"/>
    </row>
    <row r="715" spans="1:15" ht="12.75" x14ac:dyDescent="0.2">
      <c r="A715" s="53"/>
      <c r="B715" s="33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6"/>
    </row>
    <row r="716" spans="1:15" ht="12.75" x14ac:dyDescent="0.2">
      <c r="A716" s="53"/>
      <c r="B716" s="33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6"/>
    </row>
    <row r="717" spans="1:15" ht="12.75" x14ac:dyDescent="0.2">
      <c r="A717" s="53"/>
      <c r="B717" s="33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6"/>
    </row>
    <row r="718" spans="1:15" ht="12.75" x14ac:dyDescent="0.2">
      <c r="A718" s="53"/>
      <c r="B718" s="33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6"/>
    </row>
    <row r="719" spans="1:15" ht="12.75" x14ac:dyDescent="0.2">
      <c r="A719" s="53"/>
      <c r="B719" s="33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6"/>
    </row>
    <row r="720" spans="1:15" ht="12.75" x14ac:dyDescent="0.2">
      <c r="A720" s="53"/>
      <c r="B720" s="33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6"/>
    </row>
    <row r="721" spans="1:15" ht="12.75" x14ac:dyDescent="0.2">
      <c r="A721" s="53"/>
      <c r="B721" s="33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6"/>
    </row>
    <row r="722" spans="1:15" ht="12.75" x14ac:dyDescent="0.2">
      <c r="A722" s="53"/>
      <c r="B722" s="33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6"/>
    </row>
    <row r="723" spans="1:15" ht="12.75" x14ac:dyDescent="0.2">
      <c r="A723" s="53"/>
      <c r="B723" s="33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6"/>
    </row>
    <row r="724" spans="1:15" ht="12.75" x14ac:dyDescent="0.2">
      <c r="A724" s="53"/>
      <c r="B724" s="33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6"/>
    </row>
    <row r="725" spans="1:15" ht="12.75" x14ac:dyDescent="0.2">
      <c r="A725" s="53"/>
      <c r="B725" s="33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6"/>
    </row>
    <row r="726" spans="1:15" ht="12.75" x14ac:dyDescent="0.2">
      <c r="A726" s="53"/>
      <c r="B726" s="33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6"/>
    </row>
    <row r="727" spans="1:15" ht="12.75" x14ac:dyDescent="0.2">
      <c r="A727" s="53"/>
      <c r="B727" s="33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6"/>
    </row>
    <row r="728" spans="1:15" ht="12.75" x14ac:dyDescent="0.2">
      <c r="A728" s="53"/>
      <c r="B728" s="33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6"/>
    </row>
    <row r="729" spans="1:15" ht="12.75" x14ac:dyDescent="0.2">
      <c r="A729" s="53"/>
      <c r="B729" s="33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6"/>
    </row>
    <row r="730" spans="1:15" ht="12.75" x14ac:dyDescent="0.2">
      <c r="A730" s="53"/>
      <c r="B730" s="33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6"/>
    </row>
    <row r="731" spans="1:15" ht="12.75" x14ac:dyDescent="0.2">
      <c r="A731" s="53"/>
      <c r="B731" s="33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6"/>
    </row>
    <row r="732" spans="1:15" ht="12.75" x14ac:dyDescent="0.2">
      <c r="A732" s="53"/>
      <c r="B732" s="33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6"/>
    </row>
    <row r="733" spans="1:15" ht="12.75" x14ac:dyDescent="0.2">
      <c r="A733" s="53"/>
      <c r="B733" s="33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6"/>
    </row>
    <row r="734" spans="1:15" ht="12.75" x14ac:dyDescent="0.2">
      <c r="A734" s="53"/>
      <c r="B734" s="33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6"/>
    </row>
    <row r="735" spans="1:15" ht="12.75" x14ac:dyDescent="0.2">
      <c r="A735" s="53"/>
      <c r="B735" s="33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6"/>
    </row>
    <row r="736" spans="1:15" ht="12.75" x14ac:dyDescent="0.2">
      <c r="A736" s="53"/>
      <c r="B736" s="33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6"/>
    </row>
    <row r="737" spans="1:15" ht="12.75" x14ac:dyDescent="0.2">
      <c r="A737" s="53"/>
      <c r="B737" s="33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6"/>
    </row>
    <row r="738" spans="1:15" ht="12.75" x14ac:dyDescent="0.2">
      <c r="A738" s="53"/>
      <c r="B738" s="33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6"/>
    </row>
    <row r="739" spans="1:15" ht="12.75" x14ac:dyDescent="0.2">
      <c r="A739" s="53"/>
      <c r="B739" s="33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6"/>
    </row>
    <row r="740" spans="1:15" ht="12.75" x14ac:dyDescent="0.2">
      <c r="A740" s="53"/>
      <c r="B740" s="33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6"/>
    </row>
    <row r="741" spans="1:15" ht="12.75" x14ac:dyDescent="0.2">
      <c r="A741" s="53"/>
      <c r="B741" s="33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6"/>
    </row>
    <row r="742" spans="1:15" ht="12.75" x14ac:dyDescent="0.2">
      <c r="A742" s="53"/>
      <c r="B742" s="33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6"/>
    </row>
    <row r="743" spans="1:15" ht="12.75" x14ac:dyDescent="0.2">
      <c r="A743" s="53"/>
      <c r="B743" s="33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6"/>
    </row>
    <row r="744" spans="1:15" ht="12.75" x14ac:dyDescent="0.2">
      <c r="A744" s="53"/>
      <c r="B744" s="33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6"/>
    </row>
    <row r="745" spans="1:15" ht="12.75" x14ac:dyDescent="0.2">
      <c r="A745" s="53"/>
      <c r="B745" s="33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6"/>
    </row>
    <row r="746" spans="1:15" ht="12.75" x14ac:dyDescent="0.2">
      <c r="A746" s="53"/>
      <c r="B746" s="33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6"/>
    </row>
    <row r="747" spans="1:15" ht="12.75" x14ac:dyDescent="0.2">
      <c r="A747" s="53"/>
      <c r="B747" s="33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6"/>
    </row>
    <row r="748" spans="1:15" ht="12.75" x14ac:dyDescent="0.2">
      <c r="A748" s="53"/>
      <c r="B748" s="33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6"/>
    </row>
    <row r="749" spans="1:15" ht="12.75" x14ac:dyDescent="0.2">
      <c r="A749" s="53"/>
      <c r="B749" s="33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6"/>
    </row>
    <row r="750" spans="1:15" ht="12.75" x14ac:dyDescent="0.2">
      <c r="A750" s="53"/>
      <c r="B750" s="33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6"/>
    </row>
    <row r="751" spans="1:15" ht="12.75" x14ac:dyDescent="0.2">
      <c r="A751" s="53"/>
      <c r="B751" s="33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6"/>
    </row>
    <row r="752" spans="1:15" ht="12.75" x14ac:dyDescent="0.2">
      <c r="A752" s="53"/>
      <c r="B752" s="33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6"/>
    </row>
    <row r="753" spans="1:15" ht="12.75" x14ac:dyDescent="0.2">
      <c r="A753" s="53"/>
      <c r="B753" s="33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6"/>
    </row>
    <row r="754" spans="1:15" ht="12.75" x14ac:dyDescent="0.2">
      <c r="A754" s="53"/>
      <c r="B754" s="33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6"/>
    </row>
    <row r="755" spans="1:15" ht="12.75" x14ac:dyDescent="0.2">
      <c r="A755" s="53"/>
      <c r="B755" s="33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6"/>
    </row>
    <row r="756" spans="1:15" ht="12.75" x14ac:dyDescent="0.2">
      <c r="A756" s="53"/>
      <c r="B756" s="33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6"/>
    </row>
    <row r="757" spans="1:15" ht="12.75" x14ac:dyDescent="0.2">
      <c r="A757" s="53"/>
      <c r="B757" s="33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6"/>
    </row>
    <row r="758" spans="1:15" ht="12.75" x14ac:dyDescent="0.2">
      <c r="A758" s="53"/>
      <c r="B758" s="33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6"/>
    </row>
    <row r="759" spans="1:15" ht="12.75" x14ac:dyDescent="0.2">
      <c r="A759" s="53"/>
      <c r="B759" s="33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6"/>
    </row>
    <row r="760" spans="1:15" ht="12.75" x14ac:dyDescent="0.2">
      <c r="A760" s="53"/>
      <c r="B760" s="33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6"/>
    </row>
    <row r="761" spans="1:15" ht="12.75" x14ac:dyDescent="0.2">
      <c r="A761" s="53"/>
      <c r="B761" s="33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6"/>
    </row>
    <row r="762" spans="1:15" ht="12.75" x14ac:dyDescent="0.2">
      <c r="A762" s="53"/>
      <c r="B762" s="33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6"/>
    </row>
    <row r="763" spans="1:15" ht="12.75" x14ac:dyDescent="0.2">
      <c r="A763" s="53"/>
      <c r="B763" s="33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6"/>
    </row>
    <row r="764" spans="1:15" ht="12.75" x14ac:dyDescent="0.2">
      <c r="A764" s="53"/>
      <c r="B764" s="33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6"/>
    </row>
    <row r="765" spans="1:15" ht="12.75" x14ac:dyDescent="0.2">
      <c r="A765" s="53"/>
      <c r="B765" s="33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6"/>
    </row>
    <row r="766" spans="1:15" ht="12.75" x14ac:dyDescent="0.2">
      <c r="A766" s="53"/>
      <c r="B766" s="33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6"/>
    </row>
    <row r="767" spans="1:15" ht="12.75" x14ac:dyDescent="0.2">
      <c r="A767" s="53"/>
      <c r="B767" s="33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6"/>
    </row>
    <row r="768" spans="1:15" ht="12.75" x14ac:dyDescent="0.2">
      <c r="A768" s="53"/>
      <c r="B768" s="33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6"/>
    </row>
    <row r="769" spans="1:15" ht="12.75" x14ac:dyDescent="0.2">
      <c r="A769" s="53"/>
      <c r="B769" s="33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6"/>
    </row>
    <row r="770" spans="1:15" ht="12.75" x14ac:dyDescent="0.2">
      <c r="A770" s="53"/>
      <c r="B770" s="33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6"/>
    </row>
    <row r="771" spans="1:15" ht="12.75" x14ac:dyDescent="0.2">
      <c r="A771" s="53"/>
      <c r="B771" s="33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6"/>
    </row>
    <row r="772" spans="1:15" ht="12.75" x14ac:dyDescent="0.2">
      <c r="A772" s="53"/>
      <c r="B772" s="33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6"/>
    </row>
    <row r="773" spans="1:15" ht="12.75" x14ac:dyDescent="0.2">
      <c r="A773" s="53"/>
      <c r="B773" s="33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6"/>
    </row>
    <row r="774" spans="1:15" ht="12.75" x14ac:dyDescent="0.2">
      <c r="A774" s="53"/>
      <c r="B774" s="33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6"/>
    </row>
    <row r="775" spans="1:15" ht="12.75" x14ac:dyDescent="0.2">
      <c r="A775" s="53"/>
      <c r="B775" s="33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6"/>
    </row>
    <row r="776" spans="1:15" ht="12.75" x14ac:dyDescent="0.2">
      <c r="A776" s="53"/>
      <c r="B776" s="33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6"/>
    </row>
    <row r="777" spans="1:15" ht="12.75" x14ac:dyDescent="0.2">
      <c r="A777" s="53"/>
      <c r="B777" s="33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6"/>
    </row>
    <row r="778" spans="1:15" ht="12.75" x14ac:dyDescent="0.2">
      <c r="A778" s="53"/>
      <c r="B778" s="33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6"/>
    </row>
    <row r="779" spans="1:15" ht="12.75" x14ac:dyDescent="0.2">
      <c r="A779" s="53"/>
      <c r="B779" s="33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6"/>
    </row>
    <row r="780" spans="1:15" ht="12.75" x14ac:dyDescent="0.2">
      <c r="A780" s="53"/>
      <c r="B780" s="33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6"/>
    </row>
    <row r="781" spans="1:15" ht="12.75" x14ac:dyDescent="0.2">
      <c r="A781" s="53"/>
      <c r="B781" s="33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6"/>
    </row>
    <row r="782" spans="1:15" ht="12.75" x14ac:dyDescent="0.2">
      <c r="A782" s="53"/>
      <c r="B782" s="33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6"/>
    </row>
    <row r="783" spans="1:15" ht="12.75" x14ac:dyDescent="0.2">
      <c r="A783" s="53"/>
      <c r="B783" s="33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6"/>
    </row>
    <row r="784" spans="1:15" ht="12.75" x14ac:dyDescent="0.2">
      <c r="A784" s="53"/>
      <c r="B784" s="33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6"/>
    </row>
    <row r="785" spans="1:15" ht="12.75" x14ac:dyDescent="0.2">
      <c r="A785" s="53"/>
      <c r="B785" s="33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6"/>
    </row>
    <row r="786" spans="1:15" ht="12.75" x14ac:dyDescent="0.2">
      <c r="A786" s="53"/>
      <c r="B786" s="33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6"/>
    </row>
    <row r="787" spans="1:15" ht="12.75" x14ac:dyDescent="0.2">
      <c r="A787" s="53"/>
      <c r="B787" s="33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6"/>
    </row>
    <row r="788" spans="1:15" ht="12.75" x14ac:dyDescent="0.2">
      <c r="A788" s="53"/>
      <c r="B788" s="33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6"/>
    </row>
    <row r="789" spans="1:15" ht="12.75" x14ac:dyDescent="0.2">
      <c r="A789" s="53"/>
      <c r="B789" s="33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6"/>
    </row>
    <row r="790" spans="1:15" ht="12.75" x14ac:dyDescent="0.2">
      <c r="A790" s="53"/>
      <c r="B790" s="33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6"/>
    </row>
    <row r="791" spans="1:15" ht="12.75" x14ac:dyDescent="0.2">
      <c r="A791" s="53"/>
      <c r="B791" s="33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6"/>
    </row>
    <row r="792" spans="1:15" ht="12.75" x14ac:dyDescent="0.2">
      <c r="A792" s="53"/>
      <c r="B792" s="33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6"/>
    </row>
    <row r="793" spans="1:15" ht="12.75" x14ac:dyDescent="0.2">
      <c r="A793" s="53"/>
      <c r="B793" s="33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6"/>
    </row>
    <row r="794" spans="1:15" ht="12.75" x14ac:dyDescent="0.2">
      <c r="A794" s="53"/>
      <c r="B794" s="33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6"/>
    </row>
    <row r="795" spans="1:15" ht="12.75" x14ac:dyDescent="0.2">
      <c r="A795" s="53"/>
      <c r="B795" s="33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6"/>
    </row>
    <row r="796" spans="1:15" ht="12.75" x14ac:dyDescent="0.2">
      <c r="A796" s="53"/>
      <c r="B796" s="33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6"/>
    </row>
    <row r="797" spans="1:15" ht="12.75" x14ac:dyDescent="0.2">
      <c r="A797" s="53"/>
      <c r="B797" s="33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6"/>
    </row>
    <row r="798" spans="1:15" ht="12.75" x14ac:dyDescent="0.2">
      <c r="A798" s="53"/>
      <c r="B798" s="33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6"/>
    </row>
    <row r="799" spans="1:15" ht="12.75" x14ac:dyDescent="0.2">
      <c r="A799" s="53"/>
      <c r="B799" s="33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6"/>
    </row>
    <row r="800" spans="1:15" ht="12.75" x14ac:dyDescent="0.2">
      <c r="A800" s="53"/>
      <c r="B800" s="33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6"/>
    </row>
    <row r="801" spans="1:15" ht="12.75" x14ac:dyDescent="0.2">
      <c r="A801" s="53"/>
      <c r="B801" s="33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6"/>
    </row>
    <row r="802" spans="1:15" ht="12.75" x14ac:dyDescent="0.2">
      <c r="A802" s="53"/>
      <c r="B802" s="33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6"/>
    </row>
    <row r="803" spans="1:15" ht="12.75" x14ac:dyDescent="0.2">
      <c r="A803" s="53"/>
      <c r="B803" s="33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6"/>
    </row>
    <row r="804" spans="1:15" ht="12.75" x14ac:dyDescent="0.2">
      <c r="A804" s="53"/>
      <c r="B804" s="33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6"/>
    </row>
    <row r="805" spans="1:15" ht="12.75" x14ac:dyDescent="0.2">
      <c r="A805" s="53"/>
      <c r="B805" s="33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6"/>
    </row>
    <row r="806" spans="1:15" ht="12.75" x14ac:dyDescent="0.2">
      <c r="A806" s="53"/>
      <c r="B806" s="33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6"/>
    </row>
    <row r="807" spans="1:15" ht="12.75" x14ac:dyDescent="0.2">
      <c r="A807" s="53"/>
      <c r="B807" s="33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6"/>
    </row>
    <row r="808" spans="1:15" ht="12.75" x14ac:dyDescent="0.2">
      <c r="A808" s="53"/>
      <c r="B808" s="33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6"/>
    </row>
    <row r="809" spans="1:15" ht="12.75" x14ac:dyDescent="0.2">
      <c r="A809" s="53"/>
      <c r="B809" s="33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6"/>
    </row>
    <row r="810" spans="1:15" ht="12.75" x14ac:dyDescent="0.2">
      <c r="A810" s="53"/>
      <c r="B810" s="33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6"/>
    </row>
    <row r="811" spans="1:15" ht="12.75" x14ac:dyDescent="0.2">
      <c r="A811" s="53"/>
      <c r="B811" s="33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6"/>
    </row>
    <row r="812" spans="1:15" ht="12.75" x14ac:dyDescent="0.2">
      <c r="A812" s="53"/>
      <c r="B812" s="33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6"/>
    </row>
    <row r="813" spans="1:15" ht="12.75" x14ac:dyDescent="0.2">
      <c r="A813" s="53"/>
      <c r="B813" s="33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6"/>
    </row>
    <row r="814" spans="1:15" ht="12.75" x14ac:dyDescent="0.2">
      <c r="A814" s="53"/>
      <c r="B814" s="33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6"/>
    </row>
    <row r="815" spans="1:15" ht="12.75" x14ac:dyDescent="0.2">
      <c r="A815" s="53"/>
      <c r="B815" s="33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6"/>
    </row>
    <row r="816" spans="1:15" ht="12.75" x14ac:dyDescent="0.2">
      <c r="A816" s="53"/>
      <c r="B816" s="33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6"/>
    </row>
    <row r="817" spans="1:15" ht="12.75" x14ac:dyDescent="0.2">
      <c r="A817" s="53"/>
      <c r="B817" s="33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6"/>
    </row>
    <row r="818" spans="1:15" ht="12.75" x14ac:dyDescent="0.2">
      <c r="A818" s="53"/>
      <c r="B818" s="33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6"/>
    </row>
    <row r="819" spans="1:15" ht="12.75" x14ac:dyDescent="0.2">
      <c r="A819" s="53"/>
      <c r="B819" s="33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6"/>
    </row>
    <row r="820" spans="1:15" ht="12.75" x14ac:dyDescent="0.2">
      <c r="A820" s="53"/>
      <c r="B820" s="33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6"/>
    </row>
    <row r="821" spans="1:15" ht="12.75" x14ac:dyDescent="0.2">
      <c r="A821" s="53"/>
      <c r="B821" s="33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6"/>
    </row>
    <row r="822" spans="1:15" ht="12.75" x14ac:dyDescent="0.2">
      <c r="A822" s="53"/>
      <c r="B822" s="33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6"/>
    </row>
    <row r="823" spans="1:15" ht="12.75" x14ac:dyDescent="0.2">
      <c r="A823" s="53"/>
      <c r="B823" s="33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6"/>
    </row>
    <row r="824" spans="1:15" ht="12.75" x14ac:dyDescent="0.2">
      <c r="A824" s="53"/>
      <c r="B824" s="33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6"/>
    </row>
    <row r="825" spans="1:15" ht="12.75" x14ac:dyDescent="0.2">
      <c r="A825" s="53"/>
      <c r="B825" s="33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6"/>
    </row>
    <row r="826" spans="1:15" ht="12.75" x14ac:dyDescent="0.2">
      <c r="A826" s="53"/>
      <c r="B826" s="33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6"/>
    </row>
    <row r="827" spans="1:15" ht="12.75" x14ac:dyDescent="0.2">
      <c r="A827" s="53"/>
      <c r="B827" s="33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6"/>
    </row>
    <row r="828" spans="1:15" ht="12.75" x14ac:dyDescent="0.2">
      <c r="A828" s="53"/>
      <c r="B828" s="33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6"/>
    </row>
    <row r="829" spans="1:15" ht="12.75" x14ac:dyDescent="0.2">
      <c r="A829" s="53"/>
      <c r="B829" s="33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6"/>
    </row>
    <row r="830" spans="1:15" ht="12.75" x14ac:dyDescent="0.2">
      <c r="A830" s="53"/>
      <c r="B830" s="33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6"/>
    </row>
    <row r="831" spans="1:15" ht="12.75" x14ac:dyDescent="0.2">
      <c r="A831" s="53"/>
      <c r="B831" s="33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6"/>
    </row>
    <row r="832" spans="1:15" ht="12.75" x14ac:dyDescent="0.2">
      <c r="A832" s="53"/>
      <c r="B832" s="33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6"/>
    </row>
    <row r="833" spans="1:15" ht="12.75" x14ac:dyDescent="0.2">
      <c r="A833" s="53"/>
      <c r="B833" s="33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6"/>
    </row>
    <row r="834" spans="1:15" ht="12.75" x14ac:dyDescent="0.2">
      <c r="A834" s="53"/>
      <c r="B834" s="33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6"/>
    </row>
    <row r="835" spans="1:15" ht="12.75" x14ac:dyDescent="0.2">
      <c r="A835" s="53"/>
      <c r="B835" s="33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6"/>
    </row>
    <row r="836" spans="1:15" ht="12.75" x14ac:dyDescent="0.2">
      <c r="A836" s="53"/>
      <c r="B836" s="33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6"/>
    </row>
    <row r="837" spans="1:15" ht="12.75" x14ac:dyDescent="0.2">
      <c r="A837" s="53"/>
      <c r="B837" s="33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6"/>
    </row>
    <row r="838" spans="1:15" ht="12.75" x14ac:dyDescent="0.2">
      <c r="A838" s="53"/>
      <c r="B838" s="33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6"/>
    </row>
    <row r="839" spans="1:15" ht="12.75" x14ac:dyDescent="0.2">
      <c r="A839" s="53"/>
      <c r="B839" s="33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6"/>
    </row>
    <row r="840" spans="1:15" ht="12.75" x14ac:dyDescent="0.2">
      <c r="A840" s="53"/>
      <c r="B840" s="33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6"/>
    </row>
    <row r="841" spans="1:15" ht="12.75" x14ac:dyDescent="0.2">
      <c r="A841" s="53"/>
      <c r="B841" s="33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6"/>
    </row>
    <row r="842" spans="1:15" ht="12.75" x14ac:dyDescent="0.2">
      <c r="A842" s="53"/>
      <c r="B842" s="33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6"/>
    </row>
    <row r="843" spans="1:15" ht="12.75" x14ac:dyDescent="0.2">
      <c r="A843" s="53"/>
      <c r="B843" s="33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6"/>
    </row>
    <row r="844" spans="1:15" ht="12.75" x14ac:dyDescent="0.2">
      <c r="A844" s="53"/>
      <c r="B844" s="33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6"/>
    </row>
    <row r="845" spans="1:15" ht="12.75" x14ac:dyDescent="0.2">
      <c r="A845" s="53"/>
      <c r="B845" s="33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6"/>
    </row>
    <row r="846" spans="1:15" ht="12.75" x14ac:dyDescent="0.2">
      <c r="A846" s="53"/>
      <c r="B846" s="33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6"/>
    </row>
    <row r="847" spans="1:15" ht="12.75" x14ac:dyDescent="0.2">
      <c r="A847" s="53"/>
      <c r="B847" s="33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6"/>
    </row>
    <row r="848" spans="1:15" ht="12.75" x14ac:dyDescent="0.2">
      <c r="A848" s="53"/>
      <c r="B848" s="33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6"/>
    </row>
    <row r="849" spans="1:15" ht="12.75" x14ac:dyDescent="0.2">
      <c r="A849" s="53"/>
      <c r="B849" s="33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6"/>
    </row>
    <row r="850" spans="1:15" ht="12.75" x14ac:dyDescent="0.2">
      <c r="A850" s="53"/>
      <c r="B850" s="33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6"/>
    </row>
    <row r="851" spans="1:15" ht="12.75" x14ac:dyDescent="0.2">
      <c r="A851" s="53"/>
      <c r="B851" s="33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6"/>
    </row>
    <row r="852" spans="1:15" ht="12.75" x14ac:dyDescent="0.2">
      <c r="A852" s="53"/>
      <c r="B852" s="33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6"/>
    </row>
    <row r="853" spans="1:15" ht="12.75" x14ac:dyDescent="0.2">
      <c r="A853" s="53"/>
      <c r="B853" s="33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6"/>
    </row>
    <row r="854" spans="1:15" ht="12.75" x14ac:dyDescent="0.2">
      <c r="A854" s="53"/>
      <c r="B854" s="33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6"/>
    </row>
    <row r="855" spans="1:15" ht="12.75" x14ac:dyDescent="0.2">
      <c r="A855" s="53"/>
      <c r="B855" s="33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6"/>
    </row>
    <row r="856" spans="1:15" ht="12.75" x14ac:dyDescent="0.2">
      <c r="A856" s="53"/>
      <c r="B856" s="33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6"/>
    </row>
    <row r="857" spans="1:15" ht="12.75" x14ac:dyDescent="0.2">
      <c r="A857" s="53"/>
      <c r="B857" s="33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6"/>
    </row>
    <row r="858" spans="1:15" ht="12.75" x14ac:dyDescent="0.2">
      <c r="A858" s="53"/>
      <c r="B858" s="33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6"/>
    </row>
    <row r="859" spans="1:15" ht="12.75" x14ac:dyDescent="0.2">
      <c r="A859" s="53"/>
      <c r="B859" s="33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6"/>
    </row>
    <row r="860" spans="1:15" ht="12.75" x14ac:dyDescent="0.2">
      <c r="A860" s="53"/>
      <c r="B860" s="33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6"/>
    </row>
    <row r="861" spans="1:15" ht="12.75" x14ac:dyDescent="0.2">
      <c r="A861" s="53"/>
      <c r="B861" s="33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6"/>
    </row>
    <row r="862" spans="1:15" ht="12.75" x14ac:dyDescent="0.2">
      <c r="A862" s="53"/>
      <c r="B862" s="33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6"/>
    </row>
    <row r="863" spans="1:15" ht="12.75" x14ac:dyDescent="0.2">
      <c r="A863" s="53"/>
      <c r="B863" s="33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6"/>
    </row>
    <row r="864" spans="1:15" ht="12.75" x14ac:dyDescent="0.2">
      <c r="A864" s="53"/>
      <c r="B864" s="33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6"/>
    </row>
    <row r="865" spans="1:15" ht="12.75" x14ac:dyDescent="0.2">
      <c r="A865" s="53"/>
      <c r="B865" s="33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6"/>
    </row>
    <row r="866" spans="1:15" ht="12.75" x14ac:dyDescent="0.2">
      <c r="A866" s="53"/>
      <c r="B866" s="33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6"/>
    </row>
    <row r="867" spans="1:15" ht="12.75" x14ac:dyDescent="0.2">
      <c r="A867" s="53"/>
      <c r="B867" s="33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6"/>
    </row>
    <row r="868" spans="1:15" ht="12.75" x14ac:dyDescent="0.2">
      <c r="A868" s="53"/>
      <c r="B868" s="33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6"/>
    </row>
    <row r="869" spans="1:15" ht="12.75" x14ac:dyDescent="0.2">
      <c r="A869" s="53"/>
      <c r="B869" s="33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6"/>
    </row>
    <row r="870" spans="1:15" ht="12.75" x14ac:dyDescent="0.2">
      <c r="A870" s="53"/>
      <c r="B870" s="33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6"/>
    </row>
    <row r="871" spans="1:15" ht="12.75" x14ac:dyDescent="0.2">
      <c r="A871" s="53"/>
      <c r="B871" s="33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6"/>
    </row>
    <row r="872" spans="1:15" ht="12.75" x14ac:dyDescent="0.2">
      <c r="A872" s="53"/>
      <c r="B872" s="33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6"/>
    </row>
    <row r="873" spans="1:15" ht="12.75" x14ac:dyDescent="0.2">
      <c r="A873" s="53"/>
      <c r="B873" s="33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6"/>
    </row>
    <row r="874" spans="1:15" ht="12.75" x14ac:dyDescent="0.2">
      <c r="A874" s="53"/>
      <c r="B874" s="33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6"/>
    </row>
    <row r="875" spans="1:15" ht="12.75" x14ac:dyDescent="0.2">
      <c r="A875" s="53"/>
      <c r="B875" s="33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6"/>
    </row>
    <row r="876" spans="1:15" ht="12.75" x14ac:dyDescent="0.2">
      <c r="A876" s="53"/>
      <c r="B876" s="33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6"/>
    </row>
    <row r="877" spans="1:15" ht="12.75" x14ac:dyDescent="0.2">
      <c r="A877" s="53"/>
      <c r="B877" s="33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6"/>
    </row>
    <row r="878" spans="1:15" ht="12.75" x14ac:dyDescent="0.2">
      <c r="A878" s="53"/>
      <c r="B878" s="33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6"/>
    </row>
    <row r="879" spans="1:15" ht="12.75" x14ac:dyDescent="0.2">
      <c r="A879" s="53"/>
      <c r="B879" s="33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6"/>
    </row>
    <row r="880" spans="1:15" ht="12.75" x14ac:dyDescent="0.2">
      <c r="A880" s="53"/>
      <c r="B880" s="33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6"/>
    </row>
    <row r="881" spans="1:15" ht="12.75" x14ac:dyDescent="0.2">
      <c r="A881" s="53"/>
      <c r="B881" s="33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6"/>
    </row>
    <row r="882" spans="1:15" ht="12.75" x14ac:dyDescent="0.2">
      <c r="A882" s="53"/>
      <c r="B882" s="33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6"/>
    </row>
    <row r="883" spans="1:15" ht="12.75" x14ac:dyDescent="0.2">
      <c r="A883" s="53"/>
      <c r="B883" s="33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6"/>
    </row>
    <row r="884" spans="1:15" ht="12.75" x14ac:dyDescent="0.2">
      <c r="A884" s="53"/>
      <c r="B884" s="33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6"/>
    </row>
    <row r="885" spans="1:15" ht="12.75" x14ac:dyDescent="0.2">
      <c r="A885" s="53"/>
      <c r="B885" s="33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6"/>
    </row>
    <row r="886" spans="1:15" ht="12.75" x14ac:dyDescent="0.2">
      <c r="A886" s="53"/>
      <c r="B886" s="33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6"/>
    </row>
    <row r="887" spans="1:15" ht="12.75" x14ac:dyDescent="0.2">
      <c r="A887" s="53"/>
      <c r="B887" s="33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6"/>
    </row>
    <row r="888" spans="1:15" ht="12.75" x14ac:dyDescent="0.2">
      <c r="A888" s="53"/>
      <c r="B888" s="33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6"/>
    </row>
    <row r="889" spans="1:15" ht="12.75" x14ac:dyDescent="0.2">
      <c r="A889" s="53"/>
      <c r="B889" s="33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6"/>
    </row>
    <row r="890" spans="1:15" ht="12.75" x14ac:dyDescent="0.2">
      <c r="A890" s="53"/>
      <c r="B890" s="33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6"/>
    </row>
    <row r="891" spans="1:15" ht="12.75" x14ac:dyDescent="0.2">
      <c r="A891" s="53"/>
      <c r="B891" s="33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6"/>
    </row>
    <row r="892" spans="1:15" ht="12.75" x14ac:dyDescent="0.2">
      <c r="A892" s="53"/>
      <c r="B892" s="33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6"/>
    </row>
    <row r="893" spans="1:15" ht="12.75" x14ac:dyDescent="0.2">
      <c r="A893" s="53"/>
      <c r="B893" s="33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6"/>
    </row>
    <row r="894" spans="1:15" ht="12.75" x14ac:dyDescent="0.2">
      <c r="A894" s="53"/>
      <c r="B894" s="33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6"/>
    </row>
    <row r="895" spans="1:15" ht="12.75" x14ac:dyDescent="0.2">
      <c r="A895" s="53"/>
      <c r="B895" s="33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6"/>
    </row>
    <row r="896" spans="1:15" ht="12.75" x14ac:dyDescent="0.2">
      <c r="A896" s="53"/>
      <c r="B896" s="33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6"/>
    </row>
    <row r="897" spans="1:15" ht="12.75" x14ac:dyDescent="0.2">
      <c r="A897" s="53"/>
      <c r="B897" s="33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6"/>
    </row>
    <row r="898" spans="1:15" ht="12.75" x14ac:dyDescent="0.2">
      <c r="A898" s="53"/>
      <c r="B898" s="33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6"/>
    </row>
    <row r="899" spans="1:15" ht="12.75" x14ac:dyDescent="0.2">
      <c r="A899" s="53"/>
      <c r="B899" s="33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6"/>
    </row>
    <row r="900" spans="1:15" ht="12.75" x14ac:dyDescent="0.2">
      <c r="A900" s="53"/>
      <c r="B900" s="33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6"/>
    </row>
    <row r="901" spans="1:15" ht="12.75" x14ac:dyDescent="0.2">
      <c r="A901" s="53"/>
      <c r="B901" s="33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6"/>
    </row>
    <row r="902" spans="1:15" ht="12.75" x14ac:dyDescent="0.2">
      <c r="A902" s="53"/>
      <c r="B902" s="33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6"/>
    </row>
    <row r="903" spans="1:15" ht="12.75" x14ac:dyDescent="0.2">
      <c r="A903" s="53"/>
      <c r="B903" s="33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6"/>
    </row>
    <row r="904" spans="1:15" ht="12.75" x14ac:dyDescent="0.2">
      <c r="A904" s="53"/>
      <c r="B904" s="33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6"/>
    </row>
    <row r="905" spans="1:15" ht="12.75" x14ac:dyDescent="0.2">
      <c r="A905" s="53"/>
      <c r="B905" s="33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6"/>
    </row>
    <row r="906" spans="1:15" ht="12.75" x14ac:dyDescent="0.2">
      <c r="A906" s="53"/>
      <c r="B906" s="33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6"/>
    </row>
    <row r="907" spans="1:15" ht="12.75" x14ac:dyDescent="0.2">
      <c r="A907" s="53"/>
      <c r="B907" s="33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6"/>
    </row>
    <row r="908" spans="1:15" ht="12.75" x14ac:dyDescent="0.2">
      <c r="A908" s="53"/>
      <c r="B908" s="33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6"/>
    </row>
    <row r="909" spans="1:15" ht="12.75" x14ac:dyDescent="0.2">
      <c r="A909" s="53"/>
      <c r="B909" s="33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6"/>
    </row>
    <row r="910" spans="1:15" ht="12.75" x14ac:dyDescent="0.2">
      <c r="A910" s="53"/>
      <c r="B910" s="33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6"/>
    </row>
    <row r="911" spans="1:15" ht="12.75" x14ac:dyDescent="0.2">
      <c r="A911" s="53"/>
      <c r="B911" s="33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6"/>
    </row>
    <row r="912" spans="1:15" ht="12.75" x14ac:dyDescent="0.2">
      <c r="A912" s="53"/>
      <c r="B912" s="33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6"/>
    </row>
    <row r="913" spans="1:15" ht="12.75" x14ac:dyDescent="0.2">
      <c r="A913" s="53"/>
      <c r="B913" s="33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6"/>
    </row>
    <row r="914" spans="1:15" ht="12.75" x14ac:dyDescent="0.2">
      <c r="A914" s="53"/>
      <c r="B914" s="33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6"/>
    </row>
    <row r="915" spans="1:15" ht="12.75" x14ac:dyDescent="0.2">
      <c r="A915" s="53"/>
      <c r="B915" s="33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6"/>
    </row>
    <row r="916" spans="1:15" ht="12.75" x14ac:dyDescent="0.2">
      <c r="A916" s="53"/>
      <c r="B916" s="33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6"/>
    </row>
    <row r="917" spans="1:15" ht="12.75" x14ac:dyDescent="0.2">
      <c r="A917" s="53"/>
      <c r="B917" s="33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6"/>
    </row>
    <row r="918" spans="1:15" ht="12.75" x14ac:dyDescent="0.2">
      <c r="A918" s="53"/>
      <c r="B918" s="33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6"/>
    </row>
    <row r="919" spans="1:15" ht="12.75" x14ac:dyDescent="0.2">
      <c r="A919" s="53"/>
      <c r="B919" s="33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6"/>
    </row>
    <row r="920" spans="1:15" ht="12.75" x14ac:dyDescent="0.2">
      <c r="A920" s="53"/>
      <c r="B920" s="33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6"/>
    </row>
    <row r="921" spans="1:15" ht="12.75" x14ac:dyDescent="0.2">
      <c r="A921" s="53"/>
      <c r="B921" s="33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6"/>
    </row>
    <row r="922" spans="1:15" ht="12.75" x14ac:dyDescent="0.2">
      <c r="A922" s="53"/>
      <c r="B922" s="33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6"/>
    </row>
    <row r="923" spans="1:15" ht="12.75" x14ac:dyDescent="0.2">
      <c r="A923" s="53"/>
      <c r="B923" s="33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6"/>
    </row>
    <row r="924" spans="1:15" ht="12.75" x14ac:dyDescent="0.2">
      <c r="A924" s="53"/>
      <c r="B924" s="33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6"/>
    </row>
    <row r="925" spans="1:15" ht="12.75" x14ac:dyDescent="0.2">
      <c r="A925" s="53"/>
      <c r="B925" s="33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6"/>
    </row>
    <row r="926" spans="1:15" ht="12.75" x14ac:dyDescent="0.2">
      <c r="A926" s="53"/>
      <c r="B926" s="33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6"/>
    </row>
    <row r="927" spans="1:15" ht="12.75" x14ac:dyDescent="0.2">
      <c r="A927" s="53"/>
      <c r="B927" s="33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6"/>
    </row>
    <row r="928" spans="1:15" ht="12.75" x14ac:dyDescent="0.2">
      <c r="A928" s="53"/>
      <c r="B928" s="33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6"/>
    </row>
    <row r="929" spans="1:15" ht="12.75" x14ac:dyDescent="0.2">
      <c r="A929" s="53"/>
      <c r="B929" s="33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6"/>
    </row>
    <row r="930" spans="1:15" ht="12.75" x14ac:dyDescent="0.2">
      <c r="A930" s="53"/>
      <c r="B930" s="33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6"/>
    </row>
    <row r="931" spans="1:15" ht="12.75" x14ac:dyDescent="0.2">
      <c r="A931" s="53"/>
      <c r="B931" s="33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6"/>
    </row>
    <row r="932" spans="1:15" ht="12.75" x14ac:dyDescent="0.2">
      <c r="A932" s="53"/>
      <c r="B932" s="33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6"/>
    </row>
    <row r="933" spans="1:15" ht="12.75" x14ac:dyDescent="0.2">
      <c r="A933" s="53"/>
      <c r="B933" s="33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6"/>
    </row>
    <row r="934" spans="1:15" ht="12.75" x14ac:dyDescent="0.2">
      <c r="A934" s="53"/>
      <c r="B934" s="33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6"/>
    </row>
    <row r="935" spans="1:15" ht="12.75" x14ac:dyDescent="0.2">
      <c r="A935" s="53"/>
      <c r="B935" s="33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6"/>
    </row>
    <row r="936" spans="1:15" ht="12.75" x14ac:dyDescent="0.2">
      <c r="A936" s="53"/>
      <c r="B936" s="33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6"/>
    </row>
    <row r="937" spans="1:15" ht="12.75" x14ac:dyDescent="0.2">
      <c r="A937" s="53"/>
      <c r="B937" s="33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6"/>
    </row>
    <row r="938" spans="1:15" ht="12.75" x14ac:dyDescent="0.2">
      <c r="A938" s="53"/>
      <c r="B938" s="33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6"/>
    </row>
    <row r="939" spans="1:15" ht="12.75" x14ac:dyDescent="0.2">
      <c r="A939" s="53"/>
      <c r="B939" s="33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6"/>
    </row>
    <row r="940" spans="1:15" ht="12.75" x14ac:dyDescent="0.2">
      <c r="A940" s="53"/>
      <c r="B940" s="33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6"/>
    </row>
    <row r="941" spans="1:15" ht="12.75" x14ac:dyDescent="0.2">
      <c r="A941" s="53"/>
      <c r="B941" s="33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6"/>
    </row>
    <row r="942" spans="1:15" ht="12.75" x14ac:dyDescent="0.2">
      <c r="A942" s="53"/>
      <c r="B942" s="33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6"/>
    </row>
    <row r="943" spans="1:15" ht="12.75" x14ac:dyDescent="0.2">
      <c r="A943" s="53"/>
      <c r="B943" s="33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6"/>
    </row>
    <row r="944" spans="1:15" ht="12.75" x14ac:dyDescent="0.2">
      <c r="A944" s="53"/>
      <c r="B944" s="33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6"/>
    </row>
    <row r="945" spans="1:15" ht="12.75" x14ac:dyDescent="0.2">
      <c r="A945" s="53"/>
      <c r="B945" s="33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6"/>
    </row>
    <row r="946" spans="1:15" ht="12.75" x14ac:dyDescent="0.2">
      <c r="A946" s="53"/>
      <c r="B946" s="33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6"/>
    </row>
    <row r="947" spans="1:15" ht="12.75" x14ac:dyDescent="0.2">
      <c r="A947" s="53"/>
      <c r="B947" s="33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6"/>
    </row>
    <row r="948" spans="1:15" ht="12.75" x14ac:dyDescent="0.2">
      <c r="A948" s="53"/>
      <c r="B948" s="33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6"/>
    </row>
    <row r="949" spans="1:15" ht="12.75" x14ac:dyDescent="0.2">
      <c r="A949" s="53"/>
      <c r="B949" s="33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6"/>
    </row>
    <row r="950" spans="1:15" ht="12.75" x14ac:dyDescent="0.2">
      <c r="A950" s="53"/>
      <c r="B950" s="33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6"/>
    </row>
    <row r="951" spans="1:15" ht="12.75" x14ac:dyDescent="0.2">
      <c r="A951" s="53"/>
      <c r="B951" s="33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6"/>
    </row>
    <row r="952" spans="1:15" ht="12.75" x14ac:dyDescent="0.2">
      <c r="A952" s="53"/>
      <c r="B952" s="33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6"/>
    </row>
    <row r="953" spans="1:15" ht="12.75" x14ac:dyDescent="0.2">
      <c r="A953" s="53"/>
      <c r="B953" s="33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6"/>
    </row>
    <row r="954" spans="1:15" ht="12.75" x14ac:dyDescent="0.2">
      <c r="A954" s="53"/>
      <c r="B954" s="33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6"/>
    </row>
    <row r="955" spans="1:15" ht="12.75" x14ac:dyDescent="0.2">
      <c r="A955" s="53"/>
      <c r="B955" s="33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6"/>
    </row>
    <row r="956" spans="1:15" ht="12.75" x14ac:dyDescent="0.2">
      <c r="A956" s="53"/>
      <c r="B956" s="33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6"/>
    </row>
    <row r="957" spans="1:15" ht="12.75" x14ac:dyDescent="0.2">
      <c r="A957" s="53"/>
      <c r="B957" s="33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6"/>
    </row>
    <row r="958" spans="1:15" ht="12.75" x14ac:dyDescent="0.2">
      <c r="A958" s="53"/>
      <c r="B958" s="33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6"/>
    </row>
    <row r="959" spans="1:15" ht="12.75" x14ac:dyDescent="0.2">
      <c r="A959" s="53"/>
      <c r="B959" s="33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6"/>
    </row>
    <row r="960" spans="1:15" ht="12.75" x14ac:dyDescent="0.2">
      <c r="A960" s="53"/>
      <c r="B960" s="33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6"/>
    </row>
    <row r="961" spans="1:15" ht="12.75" x14ac:dyDescent="0.2">
      <c r="A961" s="53"/>
      <c r="B961" s="33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6"/>
    </row>
    <row r="962" spans="1:15" ht="12.75" x14ac:dyDescent="0.2">
      <c r="A962" s="53"/>
      <c r="B962" s="33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6"/>
    </row>
    <row r="963" spans="1:15" ht="12.75" x14ac:dyDescent="0.2">
      <c r="A963" s="53"/>
      <c r="B963" s="33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6"/>
    </row>
    <row r="964" spans="1:15" ht="12.75" x14ac:dyDescent="0.2">
      <c r="A964" s="53"/>
      <c r="B964" s="33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6"/>
    </row>
    <row r="965" spans="1:15" ht="12.75" x14ac:dyDescent="0.2">
      <c r="A965" s="53"/>
      <c r="B965" s="33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6"/>
    </row>
    <row r="966" spans="1:15" ht="12.75" x14ac:dyDescent="0.2">
      <c r="A966" s="53"/>
      <c r="B966" s="33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6"/>
    </row>
    <row r="967" spans="1:15" ht="12.75" x14ac:dyDescent="0.2">
      <c r="A967" s="53"/>
      <c r="B967" s="33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6"/>
    </row>
    <row r="968" spans="1:15" ht="12.75" x14ac:dyDescent="0.2">
      <c r="A968" s="53"/>
      <c r="B968" s="33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6"/>
    </row>
    <row r="969" spans="1:15" ht="12.75" x14ac:dyDescent="0.2">
      <c r="A969" s="53"/>
      <c r="B969" s="33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6"/>
    </row>
    <row r="970" spans="1:15" ht="12.75" x14ac:dyDescent="0.2">
      <c r="A970" s="53"/>
      <c r="B970" s="33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6"/>
    </row>
    <row r="971" spans="1:15" ht="12.75" x14ac:dyDescent="0.2">
      <c r="A971" s="53"/>
      <c r="B971" s="33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6"/>
    </row>
    <row r="972" spans="1:15" ht="12.75" x14ac:dyDescent="0.2">
      <c r="A972" s="53"/>
      <c r="B972" s="33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6"/>
    </row>
    <row r="973" spans="1:15" ht="12.75" x14ac:dyDescent="0.2">
      <c r="A973" s="53"/>
      <c r="B973" s="33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6"/>
    </row>
    <row r="974" spans="1:15" ht="12.75" x14ac:dyDescent="0.2">
      <c r="A974" s="53"/>
      <c r="B974" s="33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6"/>
    </row>
    <row r="975" spans="1:15" ht="12.75" x14ac:dyDescent="0.2">
      <c r="A975" s="53"/>
      <c r="B975" s="33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6"/>
    </row>
    <row r="976" spans="1:15" ht="12.75" x14ac:dyDescent="0.2">
      <c r="A976" s="53"/>
      <c r="B976" s="33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6"/>
    </row>
    <row r="977" spans="1:15" ht="12.75" x14ac:dyDescent="0.2">
      <c r="A977" s="53"/>
      <c r="B977" s="33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6"/>
    </row>
    <row r="978" spans="1:15" ht="12.75" x14ac:dyDescent="0.2">
      <c r="A978" s="53"/>
      <c r="B978" s="33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6"/>
    </row>
    <row r="979" spans="1:15" ht="12.75" x14ac:dyDescent="0.2">
      <c r="A979" s="53"/>
      <c r="B979" s="33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6"/>
    </row>
    <row r="980" spans="1:15" ht="12.75" x14ac:dyDescent="0.2">
      <c r="A980" s="53"/>
      <c r="B980" s="33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6"/>
    </row>
    <row r="981" spans="1:15" ht="12.75" x14ac:dyDescent="0.2">
      <c r="A981" s="53"/>
      <c r="B981" s="33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6"/>
    </row>
    <row r="982" spans="1:15" ht="12.75" x14ac:dyDescent="0.2">
      <c r="A982" s="53"/>
      <c r="B982" s="33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6"/>
    </row>
    <row r="983" spans="1:15" ht="12.75" x14ac:dyDescent="0.2">
      <c r="A983" s="53"/>
      <c r="B983" s="33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6"/>
    </row>
    <row r="984" spans="1:15" ht="12.75" x14ac:dyDescent="0.2">
      <c r="A984" s="53"/>
      <c r="B984" s="33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6"/>
    </row>
    <row r="985" spans="1:15" ht="12.75" x14ac:dyDescent="0.2">
      <c r="A985" s="53"/>
      <c r="B985" s="33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6"/>
    </row>
  </sheetData>
  <autoFilter ref="A1:O239" xr:uid="{00000000-0009-0000-0000-00000600000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1627"/>
  <sheetViews>
    <sheetView workbookViewId="0">
      <pane ySplit="1" topLeftCell="A2" activePane="bottomLeft" state="frozen"/>
      <selection pane="bottomLeft" activeCell="C129" sqref="C129"/>
    </sheetView>
  </sheetViews>
  <sheetFormatPr defaultColWidth="12.5703125" defaultRowHeight="15.75" customHeight="1" x14ac:dyDescent="0.2"/>
  <cols>
    <col min="1" max="1" width="18.42578125" customWidth="1"/>
    <col min="2" max="2" width="9.42578125" customWidth="1"/>
    <col min="4" max="4" width="17.140625" customWidth="1"/>
  </cols>
  <sheetData>
    <row r="1" spans="1:48" x14ac:dyDescent="0.2">
      <c r="A1" s="42" t="s">
        <v>0</v>
      </c>
      <c r="B1" s="43" t="s">
        <v>59</v>
      </c>
      <c r="C1" s="1"/>
      <c r="D1" s="4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45" t="s">
        <v>2</v>
      </c>
      <c r="B2" s="57" t="s">
        <v>54</v>
      </c>
      <c r="C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45" t="s">
        <v>2</v>
      </c>
      <c r="B3" s="57" t="s">
        <v>55</v>
      </c>
      <c r="C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45" t="s">
        <v>2</v>
      </c>
      <c r="B4" s="57" t="s">
        <v>56</v>
      </c>
      <c r="C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45" t="s">
        <v>16</v>
      </c>
      <c r="B5" s="57" t="s">
        <v>52</v>
      </c>
      <c r="C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45" t="s">
        <v>16</v>
      </c>
      <c r="B6" s="57" t="s">
        <v>53</v>
      </c>
      <c r="C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45" t="s">
        <v>42</v>
      </c>
      <c r="B7" s="57" t="s">
        <v>48</v>
      </c>
      <c r="C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45" t="s">
        <v>42</v>
      </c>
      <c r="B8" s="57" t="s">
        <v>58</v>
      </c>
      <c r="C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45" t="s">
        <v>42</v>
      </c>
      <c r="B9" s="57" t="s">
        <v>50</v>
      </c>
      <c r="C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45" t="s">
        <v>42</v>
      </c>
      <c r="B10" s="57" t="s">
        <v>51</v>
      </c>
      <c r="C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45" t="s">
        <v>42</v>
      </c>
      <c r="B11" s="57" t="s">
        <v>52</v>
      </c>
      <c r="C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45" t="s">
        <v>42</v>
      </c>
      <c r="B12" s="57" t="s">
        <v>53</v>
      </c>
      <c r="C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45" t="s">
        <v>13</v>
      </c>
      <c r="B13" s="57" t="s">
        <v>47</v>
      </c>
      <c r="C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45" t="s">
        <v>13</v>
      </c>
      <c r="B14" s="57" t="s">
        <v>48</v>
      </c>
      <c r="C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45" t="s">
        <v>13</v>
      </c>
      <c r="B15" s="57" t="s">
        <v>49</v>
      </c>
      <c r="C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45" t="s">
        <v>13</v>
      </c>
      <c r="B16" s="57" t="s">
        <v>50</v>
      </c>
      <c r="C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45" t="s">
        <v>9</v>
      </c>
      <c r="B17" s="57" t="s">
        <v>47</v>
      </c>
      <c r="C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45" t="s">
        <v>9</v>
      </c>
      <c r="B18" s="57" t="s">
        <v>48</v>
      </c>
      <c r="C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45" t="s">
        <v>9</v>
      </c>
      <c r="B19" s="57" t="s">
        <v>49</v>
      </c>
      <c r="C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45" t="s">
        <v>9</v>
      </c>
      <c r="B20" s="57" t="s">
        <v>50</v>
      </c>
      <c r="C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45" t="s">
        <v>9</v>
      </c>
      <c r="B21" s="57" t="s">
        <v>51</v>
      </c>
      <c r="C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45" t="s">
        <v>9</v>
      </c>
      <c r="B22" s="57" t="s">
        <v>52</v>
      </c>
      <c r="C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45" t="s">
        <v>9</v>
      </c>
      <c r="B23" s="57" t="s">
        <v>53</v>
      </c>
      <c r="C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45" t="s">
        <v>43</v>
      </c>
      <c r="B24" s="57"/>
      <c r="C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45" t="s">
        <v>11</v>
      </c>
      <c r="B25" s="57"/>
      <c r="C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45" t="s">
        <v>25</v>
      </c>
      <c r="B26" s="57" t="s">
        <v>58</v>
      </c>
      <c r="C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45" t="s">
        <v>25</v>
      </c>
      <c r="B27" s="57" t="s">
        <v>50</v>
      </c>
      <c r="C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45" t="s">
        <v>25</v>
      </c>
      <c r="B28" s="57" t="s">
        <v>51</v>
      </c>
      <c r="C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45" t="s">
        <v>25</v>
      </c>
      <c r="B29" s="57" t="s">
        <v>52</v>
      </c>
      <c r="C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45" t="s">
        <v>25</v>
      </c>
      <c r="B30" s="57" t="s">
        <v>54</v>
      </c>
      <c r="C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ht="18.75" customHeight="1" x14ac:dyDescent="0.25">
      <c r="A31" s="45" t="s">
        <v>7</v>
      </c>
      <c r="B31" s="57" t="s">
        <v>58</v>
      </c>
      <c r="C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45" t="s">
        <v>7</v>
      </c>
      <c r="B32" s="57" t="s">
        <v>50</v>
      </c>
      <c r="C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45" t="s">
        <v>7</v>
      </c>
      <c r="B33" s="57" t="s">
        <v>51</v>
      </c>
      <c r="C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45" t="s">
        <v>7</v>
      </c>
      <c r="B34" s="57" t="s">
        <v>52</v>
      </c>
      <c r="C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45" t="s">
        <v>7</v>
      </c>
      <c r="B35" s="57" t="s">
        <v>53</v>
      </c>
      <c r="C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45" t="s">
        <v>12</v>
      </c>
      <c r="B36" s="57" t="s">
        <v>47</v>
      </c>
      <c r="C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45" t="s">
        <v>12</v>
      </c>
      <c r="B37" s="57" t="s">
        <v>48</v>
      </c>
      <c r="C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45" t="s">
        <v>12</v>
      </c>
      <c r="B38" s="57" t="s">
        <v>49</v>
      </c>
      <c r="C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45" t="s">
        <v>12</v>
      </c>
      <c r="B39" s="57" t="s">
        <v>50</v>
      </c>
      <c r="C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45" t="s">
        <v>14</v>
      </c>
      <c r="B40" s="57" t="s">
        <v>48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45" t="s">
        <v>14</v>
      </c>
      <c r="B41" s="57" t="s">
        <v>49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45" t="s">
        <v>14</v>
      </c>
      <c r="B42" s="57" t="s">
        <v>50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45" t="s">
        <v>14</v>
      </c>
      <c r="B43" s="57" t="s">
        <v>51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45" t="s">
        <v>14</v>
      </c>
      <c r="B44" s="57" t="s">
        <v>52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45" t="s">
        <v>15</v>
      </c>
      <c r="B45" s="57" t="s">
        <v>47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45" t="s">
        <v>15</v>
      </c>
      <c r="B46" s="57" t="s">
        <v>48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45" t="s">
        <v>15</v>
      </c>
      <c r="B47" s="57" t="s">
        <v>49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45" t="s">
        <v>15</v>
      </c>
      <c r="B48" s="57" t="s">
        <v>50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45" t="s">
        <v>19</v>
      </c>
      <c r="B49" s="57" t="s">
        <v>52</v>
      </c>
      <c r="C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45" t="s">
        <v>19</v>
      </c>
      <c r="B50" s="57" t="s">
        <v>53</v>
      </c>
      <c r="C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45" t="s">
        <v>21</v>
      </c>
      <c r="B51" s="57" t="s">
        <v>52</v>
      </c>
      <c r="C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45" t="s">
        <v>21</v>
      </c>
      <c r="B52" s="57" t="s">
        <v>53</v>
      </c>
      <c r="C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45" t="s">
        <v>20</v>
      </c>
      <c r="B53" s="57" t="s">
        <v>52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45" t="s">
        <v>20</v>
      </c>
      <c r="B54" s="57" t="s">
        <v>53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45" t="s">
        <v>22</v>
      </c>
      <c r="B55" s="57" t="s">
        <v>52</v>
      </c>
      <c r="C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45" t="s">
        <v>22</v>
      </c>
      <c r="B56" s="57" t="s">
        <v>53</v>
      </c>
      <c r="C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45" t="s">
        <v>23</v>
      </c>
      <c r="B57" s="57" t="s">
        <v>52</v>
      </c>
      <c r="C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45" t="s">
        <v>23</v>
      </c>
      <c r="B58" s="57" t="s">
        <v>53</v>
      </c>
      <c r="C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45" t="s">
        <v>6</v>
      </c>
      <c r="B59" s="57" t="s">
        <v>52</v>
      </c>
      <c r="C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45" t="s">
        <v>6</v>
      </c>
      <c r="B60" s="57" t="s">
        <v>53</v>
      </c>
      <c r="C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45" t="s">
        <v>6</v>
      </c>
      <c r="B61" s="57" t="s">
        <v>54</v>
      </c>
      <c r="C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45" t="s">
        <v>10</v>
      </c>
      <c r="B62" s="57" t="s">
        <v>48</v>
      </c>
      <c r="C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45" t="s">
        <v>10</v>
      </c>
      <c r="B63" s="57" t="s">
        <v>49</v>
      </c>
      <c r="C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45" t="s">
        <v>10</v>
      </c>
      <c r="B64" s="57" t="s">
        <v>50</v>
      </c>
      <c r="C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45" t="s">
        <v>10</v>
      </c>
      <c r="B65" s="57" t="s">
        <v>51</v>
      </c>
      <c r="C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45" t="s">
        <v>10</v>
      </c>
      <c r="B66" s="57" t="s">
        <v>52</v>
      </c>
      <c r="C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45" t="s">
        <v>30</v>
      </c>
      <c r="B67" s="57" t="s">
        <v>47</v>
      </c>
      <c r="C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45" t="s">
        <v>30</v>
      </c>
      <c r="B68" s="57" t="s">
        <v>48</v>
      </c>
      <c r="C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45" t="s">
        <v>30</v>
      </c>
      <c r="B69" s="57" t="s">
        <v>49</v>
      </c>
      <c r="C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45" t="s">
        <v>30</v>
      </c>
      <c r="B70" s="57" t="s">
        <v>50</v>
      </c>
      <c r="C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45" t="s">
        <v>31</v>
      </c>
      <c r="B71" s="57" t="s">
        <v>47</v>
      </c>
      <c r="C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45" t="s">
        <v>17</v>
      </c>
      <c r="B72" s="57" t="s">
        <v>51</v>
      </c>
      <c r="C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45" t="s">
        <v>17</v>
      </c>
      <c r="B73" s="57" t="s">
        <v>52</v>
      </c>
      <c r="C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45" t="s">
        <v>17</v>
      </c>
      <c r="B74" s="57" t="s">
        <v>53</v>
      </c>
      <c r="C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45" t="s">
        <v>18</v>
      </c>
      <c r="B75" s="57" t="s">
        <v>51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45" t="s">
        <v>18</v>
      </c>
      <c r="B76" s="57" t="s">
        <v>52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45" t="s">
        <v>18</v>
      </c>
      <c r="B77" s="57" t="s">
        <v>53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45" t="s">
        <v>32</v>
      </c>
      <c r="B78" s="57" t="s">
        <v>49</v>
      </c>
      <c r="C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45" t="s">
        <v>32</v>
      </c>
      <c r="B79" s="57" t="s">
        <v>50</v>
      </c>
      <c r="C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45" t="s">
        <v>32</v>
      </c>
      <c r="B80" s="57" t="s">
        <v>51</v>
      </c>
      <c r="C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45" t="s">
        <v>32</v>
      </c>
      <c r="B81" s="57" t="s">
        <v>52</v>
      </c>
      <c r="C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45" t="s">
        <v>33</v>
      </c>
      <c r="B82" s="57" t="s">
        <v>49</v>
      </c>
      <c r="C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45" t="s">
        <v>33</v>
      </c>
      <c r="B83" s="57" t="s">
        <v>50</v>
      </c>
      <c r="C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45" t="s">
        <v>33</v>
      </c>
      <c r="B84" s="57" t="s">
        <v>51</v>
      </c>
      <c r="C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45" t="s">
        <v>33</v>
      </c>
      <c r="B85" s="57" t="s">
        <v>52</v>
      </c>
      <c r="C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45" t="s">
        <v>5</v>
      </c>
      <c r="B86" s="57" t="s">
        <v>52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45" t="s">
        <v>5</v>
      </c>
      <c r="B87" s="57" t="s">
        <v>53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45" t="s">
        <v>5</v>
      </c>
      <c r="B88" s="57" t="s">
        <v>54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45" t="s">
        <v>28</v>
      </c>
      <c r="B89" s="57" t="s">
        <v>58</v>
      </c>
      <c r="C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45" t="s">
        <v>28</v>
      </c>
      <c r="B90" s="57" t="s">
        <v>50</v>
      </c>
      <c r="C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45" t="s">
        <v>28</v>
      </c>
      <c r="B91" s="57" t="s">
        <v>51</v>
      </c>
      <c r="C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45" t="s">
        <v>28</v>
      </c>
      <c r="B92" s="57" t="s">
        <v>52</v>
      </c>
      <c r="C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45" t="s">
        <v>28</v>
      </c>
      <c r="B93" s="57" t="s">
        <v>54</v>
      </c>
      <c r="C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45" t="s">
        <v>27</v>
      </c>
      <c r="B94" s="57" t="s">
        <v>47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45" t="s">
        <v>27</v>
      </c>
      <c r="B95" s="57" t="s">
        <v>48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45" t="s">
        <v>26</v>
      </c>
      <c r="B96" s="57" t="s">
        <v>58</v>
      </c>
      <c r="C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45" t="s">
        <v>26</v>
      </c>
      <c r="B97" s="57" t="s">
        <v>50</v>
      </c>
      <c r="C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45" t="s">
        <v>26</v>
      </c>
      <c r="B98" s="57" t="s">
        <v>51</v>
      </c>
      <c r="C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45" t="s">
        <v>26</v>
      </c>
      <c r="B99" s="57" t="s">
        <v>52</v>
      </c>
      <c r="C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45" t="s">
        <v>26</v>
      </c>
      <c r="B100" s="57" t="s">
        <v>54</v>
      </c>
      <c r="C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45" t="s">
        <v>29</v>
      </c>
      <c r="B101" s="57" t="s">
        <v>58</v>
      </c>
      <c r="C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45" t="s">
        <v>29</v>
      </c>
      <c r="B102" s="57" t="s">
        <v>50</v>
      </c>
      <c r="C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45" t="s">
        <v>29</v>
      </c>
      <c r="B103" s="57" t="s">
        <v>51</v>
      </c>
      <c r="C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45" t="s">
        <v>29</v>
      </c>
      <c r="B104" s="57" t="s">
        <v>52</v>
      </c>
      <c r="C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45" t="s">
        <v>29</v>
      </c>
      <c r="B105" s="57" t="s">
        <v>54</v>
      </c>
      <c r="C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45" t="s">
        <v>24</v>
      </c>
      <c r="B106" s="57" t="s">
        <v>58</v>
      </c>
      <c r="C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45" t="s">
        <v>4</v>
      </c>
      <c r="B107" s="57" t="s">
        <v>58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45" t="s">
        <v>4</v>
      </c>
      <c r="B108" s="57" t="s">
        <v>50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45" t="s">
        <v>4</v>
      </c>
      <c r="B109" s="57" t="s">
        <v>51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45" t="s">
        <v>4</v>
      </c>
      <c r="B110" s="57" t="s">
        <v>52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45" t="s">
        <v>4</v>
      </c>
      <c r="B111" s="57" t="s">
        <v>53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45" t="s">
        <v>8</v>
      </c>
      <c r="B112" s="57" t="s">
        <v>48</v>
      </c>
      <c r="C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45" t="s">
        <v>8</v>
      </c>
      <c r="B113" s="57" t="s">
        <v>58</v>
      </c>
      <c r="C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45" t="s">
        <v>8</v>
      </c>
      <c r="B114" s="57" t="s">
        <v>50</v>
      </c>
      <c r="C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45" t="s">
        <v>8</v>
      </c>
      <c r="B115" s="57" t="s">
        <v>51</v>
      </c>
      <c r="C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45" t="s">
        <v>8</v>
      </c>
      <c r="B116" s="57" t="s">
        <v>52</v>
      </c>
      <c r="C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45" t="s">
        <v>8</v>
      </c>
      <c r="B117" s="57" t="s">
        <v>53</v>
      </c>
      <c r="C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45" t="s">
        <v>3</v>
      </c>
      <c r="B118" s="57" t="s">
        <v>47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45" t="s">
        <v>3</v>
      </c>
      <c r="B119" s="57" t="s">
        <v>48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45" t="s">
        <v>3</v>
      </c>
      <c r="B120" s="57" t="s">
        <v>58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45" t="s">
        <v>3</v>
      </c>
      <c r="B121" s="57" t="s">
        <v>50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45" t="s">
        <v>24</v>
      </c>
      <c r="B122" s="57" t="s">
        <v>50</v>
      </c>
      <c r="C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45" t="s">
        <v>24</v>
      </c>
      <c r="B123" s="57" t="s">
        <v>51</v>
      </c>
      <c r="C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45" t="s">
        <v>24</v>
      </c>
      <c r="B124" s="57" t="s">
        <v>52</v>
      </c>
      <c r="C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45" t="s">
        <v>24</v>
      </c>
      <c r="B125" s="57" t="s">
        <v>54</v>
      </c>
      <c r="C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45" t="s">
        <v>31</v>
      </c>
      <c r="B126" s="57" t="s">
        <v>48</v>
      </c>
      <c r="C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45" t="s">
        <v>31</v>
      </c>
      <c r="B127" s="57" t="s">
        <v>49</v>
      </c>
      <c r="C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45" t="s">
        <v>31</v>
      </c>
      <c r="B128" s="57" t="s">
        <v>50</v>
      </c>
      <c r="C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ht="12.75" x14ac:dyDescent="0.2">
      <c r="A129" s="53"/>
      <c r="B129" s="53"/>
      <c r="C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ht="12.75" x14ac:dyDescent="0.2">
      <c r="A130" s="53"/>
      <c r="B130" s="53"/>
      <c r="C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ht="12.75" x14ac:dyDescent="0.2">
      <c r="A131" s="53"/>
      <c r="B131" s="53"/>
      <c r="C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ht="12.75" x14ac:dyDescent="0.2">
      <c r="A132" s="53"/>
      <c r="B132" s="53"/>
      <c r="C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ht="12.75" x14ac:dyDescent="0.2">
      <c r="A133" s="53"/>
      <c r="B133" s="53"/>
      <c r="C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ht="12.75" x14ac:dyDescent="0.2">
      <c r="A134" s="53"/>
      <c r="B134" s="53"/>
      <c r="C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ht="12.75" x14ac:dyDescent="0.2">
      <c r="A135" s="53"/>
      <c r="B135" s="53"/>
      <c r="C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ht="12.75" x14ac:dyDescent="0.2">
      <c r="A136" s="53"/>
      <c r="B136" s="53"/>
      <c r="C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ht="12.75" x14ac:dyDescent="0.2">
      <c r="A137" s="53"/>
      <c r="B137" s="53"/>
      <c r="C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ht="12.75" x14ac:dyDescent="0.2">
      <c r="A138" s="53"/>
      <c r="B138" s="53"/>
      <c r="C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ht="12.75" x14ac:dyDescent="0.2">
      <c r="A139" s="53"/>
      <c r="B139" s="53"/>
      <c r="C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ht="12.75" x14ac:dyDescent="0.2">
      <c r="A140" s="53"/>
      <c r="B140" s="53"/>
      <c r="C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ht="12.75" x14ac:dyDescent="0.2">
      <c r="A141" s="53"/>
      <c r="B141" s="53"/>
      <c r="C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ht="12.75" x14ac:dyDescent="0.2">
      <c r="A142" s="53"/>
      <c r="B142" s="53"/>
      <c r="C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ht="12.75" x14ac:dyDescent="0.2">
      <c r="A143" s="53"/>
      <c r="B143" s="53"/>
      <c r="C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ht="12.75" x14ac:dyDescent="0.2">
      <c r="A144" s="53"/>
      <c r="B144" s="53"/>
      <c r="C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ht="12.75" x14ac:dyDescent="0.2">
      <c r="A145" s="53"/>
      <c r="B145" s="53"/>
      <c r="C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ht="12.75" x14ac:dyDescent="0.2">
      <c r="A146" s="53"/>
      <c r="B146" s="53"/>
      <c r="C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ht="12.75" x14ac:dyDescent="0.2">
      <c r="A147" s="53"/>
      <c r="B147" s="53"/>
      <c r="C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ht="12.75" x14ac:dyDescent="0.2">
      <c r="A148" s="53"/>
      <c r="B148" s="53"/>
      <c r="C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ht="12.75" x14ac:dyDescent="0.2">
      <c r="A149" s="53"/>
      <c r="B149" s="53"/>
      <c r="C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ht="12.75" x14ac:dyDescent="0.2">
      <c r="A150" s="53"/>
      <c r="B150" s="53"/>
      <c r="C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ht="12.75" x14ac:dyDescent="0.2">
      <c r="A151" s="53"/>
      <c r="B151" s="53"/>
      <c r="C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ht="12.75" x14ac:dyDescent="0.2">
      <c r="A152" s="53"/>
      <c r="B152" s="53"/>
      <c r="C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ht="12.75" x14ac:dyDescent="0.2">
      <c r="A153" s="53"/>
      <c r="B153" s="53"/>
      <c r="C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ht="12.75" x14ac:dyDescent="0.2">
      <c r="A154" s="53"/>
      <c r="B154" s="53"/>
      <c r="C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ht="12.75" x14ac:dyDescent="0.2">
      <c r="A155" s="53"/>
      <c r="B155" s="53"/>
      <c r="C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ht="12.75" x14ac:dyDescent="0.2">
      <c r="A156" s="53"/>
      <c r="B156" s="53"/>
      <c r="C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ht="12.75" x14ac:dyDescent="0.2">
      <c r="A157" s="53"/>
      <c r="B157" s="53"/>
      <c r="C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ht="12.75" x14ac:dyDescent="0.2">
      <c r="A158" s="53"/>
      <c r="B158" s="53"/>
      <c r="C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ht="12.75" x14ac:dyDescent="0.2">
      <c r="A159" s="53"/>
      <c r="B159" s="53"/>
      <c r="C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ht="12.75" x14ac:dyDescent="0.2">
      <c r="A160" s="53"/>
      <c r="B160" s="53"/>
      <c r="C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ht="12.75" x14ac:dyDescent="0.2">
      <c r="A161" s="53"/>
      <c r="B161" s="53"/>
      <c r="C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ht="12.75" x14ac:dyDescent="0.2">
      <c r="A162" s="53"/>
      <c r="B162" s="53"/>
      <c r="C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ht="12.75" x14ac:dyDescent="0.2">
      <c r="A163" s="53"/>
      <c r="B163" s="53"/>
      <c r="C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ht="12.75" x14ac:dyDescent="0.2">
      <c r="A164" s="53"/>
      <c r="B164" s="53"/>
      <c r="C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ht="12.75" x14ac:dyDescent="0.2">
      <c r="A165" s="53"/>
      <c r="B165" s="53"/>
      <c r="C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ht="12.75" x14ac:dyDescent="0.2">
      <c r="A166" s="53"/>
      <c r="B166" s="53"/>
      <c r="C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ht="12.75" x14ac:dyDescent="0.2">
      <c r="A167" s="53"/>
      <c r="B167" s="53"/>
      <c r="C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ht="12.75" x14ac:dyDescent="0.2">
      <c r="A168" s="53"/>
      <c r="B168" s="53"/>
      <c r="C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ht="12.75" x14ac:dyDescent="0.2">
      <c r="A169" s="53"/>
      <c r="B169" s="53"/>
      <c r="C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ht="12.75" x14ac:dyDescent="0.2">
      <c r="A170" s="53"/>
      <c r="B170" s="53"/>
      <c r="C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ht="12.75" x14ac:dyDescent="0.2">
      <c r="A171" s="53"/>
      <c r="B171" s="53"/>
      <c r="C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ht="12.75" x14ac:dyDescent="0.2">
      <c r="A172" s="53"/>
      <c r="B172" s="53"/>
      <c r="C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ht="12.75" x14ac:dyDescent="0.2">
      <c r="A173" s="53"/>
      <c r="B173" s="53"/>
      <c r="C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ht="12.75" x14ac:dyDescent="0.2">
      <c r="A174" s="53"/>
      <c r="B174" s="53"/>
      <c r="C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ht="12.75" x14ac:dyDescent="0.2">
      <c r="A175" s="53"/>
      <c r="B175" s="53"/>
      <c r="C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ht="12.75" x14ac:dyDescent="0.2">
      <c r="A176" s="53"/>
      <c r="B176" s="53"/>
      <c r="C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ht="12.75" x14ac:dyDescent="0.2">
      <c r="A177" s="53"/>
      <c r="B177" s="53"/>
      <c r="C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ht="12.75" x14ac:dyDescent="0.2">
      <c r="A178" s="53"/>
      <c r="B178" s="53"/>
      <c r="C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ht="12.75" x14ac:dyDescent="0.2">
      <c r="A179" s="53"/>
      <c r="B179" s="53"/>
      <c r="C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ht="12.75" x14ac:dyDescent="0.2">
      <c r="A180" s="53"/>
      <c r="B180" s="53"/>
      <c r="C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ht="12.75" x14ac:dyDescent="0.2">
      <c r="A181" s="53"/>
      <c r="B181" s="53"/>
      <c r="C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ht="12.75" x14ac:dyDescent="0.2">
      <c r="A182" s="53"/>
      <c r="B182" s="53"/>
      <c r="C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ht="12.75" x14ac:dyDescent="0.2">
      <c r="A183" s="53"/>
      <c r="B183" s="53"/>
      <c r="C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ht="12.75" x14ac:dyDescent="0.2">
      <c r="A184" s="53"/>
      <c r="B184" s="53"/>
      <c r="C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ht="12.75" x14ac:dyDescent="0.2">
      <c r="A185" s="53"/>
      <c r="B185" s="53"/>
      <c r="C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ht="12.75" x14ac:dyDescent="0.2">
      <c r="A186" s="53"/>
      <c r="B186" s="53"/>
      <c r="C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ht="12.75" x14ac:dyDescent="0.2">
      <c r="A187" s="53"/>
      <c r="B187" s="53"/>
      <c r="C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ht="12.75" x14ac:dyDescent="0.2">
      <c r="A188" s="53"/>
      <c r="B188" s="53"/>
      <c r="C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ht="12.75" x14ac:dyDescent="0.2">
      <c r="A189" s="53"/>
      <c r="B189" s="53"/>
      <c r="C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ht="12.75" x14ac:dyDescent="0.2">
      <c r="A190" s="53"/>
      <c r="B190" s="53"/>
      <c r="C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ht="12.75" x14ac:dyDescent="0.2">
      <c r="A191" s="53"/>
      <c r="B191" s="53"/>
      <c r="C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ht="12.75" x14ac:dyDescent="0.2">
      <c r="A192" s="53"/>
      <c r="B192" s="53"/>
      <c r="C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ht="12.75" x14ac:dyDescent="0.2">
      <c r="A193" s="53"/>
      <c r="B193" s="53"/>
      <c r="C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ht="12.75" x14ac:dyDescent="0.2">
      <c r="A194" s="53"/>
      <c r="B194" s="53"/>
      <c r="C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ht="12.75" x14ac:dyDescent="0.2">
      <c r="A195" s="53"/>
      <c r="B195" s="53"/>
      <c r="C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ht="12.75" x14ac:dyDescent="0.2">
      <c r="A196" s="53"/>
      <c r="B196" s="53"/>
      <c r="C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ht="12.75" x14ac:dyDescent="0.2">
      <c r="A197" s="53"/>
      <c r="B197" s="53"/>
      <c r="C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ht="12.75" x14ac:dyDescent="0.2">
      <c r="A198" s="53"/>
      <c r="B198" s="53"/>
      <c r="C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ht="12.75" x14ac:dyDescent="0.2">
      <c r="A199" s="53"/>
      <c r="B199" s="53"/>
      <c r="C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ht="12.75" x14ac:dyDescent="0.2">
      <c r="A200" s="53"/>
      <c r="B200" s="53"/>
      <c r="C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ht="12.75" x14ac:dyDescent="0.2">
      <c r="A201" s="53"/>
      <c r="B201" s="53"/>
      <c r="C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ht="12.75" x14ac:dyDescent="0.2">
      <c r="A202" s="53"/>
      <c r="B202" s="53"/>
      <c r="C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ht="12.75" x14ac:dyDescent="0.2">
      <c r="A203" s="53"/>
      <c r="B203" s="53"/>
      <c r="C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ht="12.75" x14ac:dyDescent="0.2">
      <c r="A204" s="53"/>
      <c r="B204" s="53"/>
      <c r="C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ht="12.75" x14ac:dyDescent="0.2">
      <c r="A205" s="53"/>
      <c r="B205" s="53"/>
      <c r="C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ht="12.75" x14ac:dyDescent="0.2">
      <c r="A206" s="53"/>
      <c r="B206" s="53"/>
      <c r="C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ht="12.75" x14ac:dyDescent="0.2">
      <c r="A207" s="53"/>
      <c r="B207" s="53"/>
      <c r="C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ht="12.75" x14ac:dyDescent="0.2">
      <c r="A208" s="53"/>
      <c r="B208" s="53"/>
      <c r="C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ht="12.75" x14ac:dyDescent="0.2">
      <c r="A209" s="53"/>
      <c r="B209" s="53"/>
      <c r="C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ht="12.75" x14ac:dyDescent="0.2">
      <c r="A210" s="53"/>
      <c r="B210" s="53"/>
      <c r="C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ht="12.75" x14ac:dyDescent="0.2">
      <c r="A211" s="53"/>
      <c r="B211" s="53"/>
      <c r="C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ht="12.75" x14ac:dyDescent="0.2">
      <c r="A212" s="53"/>
      <c r="B212" s="53"/>
      <c r="C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ht="12.75" x14ac:dyDescent="0.2">
      <c r="A213" s="53"/>
      <c r="B213" s="53"/>
      <c r="C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ht="12.75" x14ac:dyDescent="0.2">
      <c r="A214" s="53"/>
      <c r="B214" s="53"/>
      <c r="C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ht="12.75" x14ac:dyDescent="0.2">
      <c r="A215" s="53"/>
      <c r="B215" s="53"/>
      <c r="C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ht="12.75" x14ac:dyDescent="0.2">
      <c r="A216" s="53"/>
      <c r="B216" s="53"/>
      <c r="C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ht="12.75" x14ac:dyDescent="0.2">
      <c r="A217" s="53"/>
      <c r="B217" s="53"/>
      <c r="C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ht="12.75" x14ac:dyDescent="0.2">
      <c r="A218" s="53"/>
      <c r="B218" s="53"/>
      <c r="C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ht="12.75" x14ac:dyDescent="0.2">
      <c r="A219" s="53"/>
      <c r="B219" s="53"/>
      <c r="C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ht="12.75" x14ac:dyDescent="0.2">
      <c r="A220" s="53"/>
      <c r="B220" s="53"/>
      <c r="C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ht="12.75" x14ac:dyDescent="0.2">
      <c r="A221" s="53"/>
      <c r="B221" s="53"/>
      <c r="C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ht="12.75" x14ac:dyDescent="0.2">
      <c r="A222" s="53"/>
      <c r="B222" s="53"/>
      <c r="C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ht="12.75" x14ac:dyDescent="0.2">
      <c r="A223" s="53"/>
      <c r="B223" s="53"/>
      <c r="C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ht="12.75" x14ac:dyDescent="0.2">
      <c r="A224" s="53"/>
      <c r="B224" s="53"/>
      <c r="C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ht="12.75" x14ac:dyDescent="0.2">
      <c r="A225" s="53"/>
      <c r="B225" s="53"/>
      <c r="C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ht="12.75" x14ac:dyDescent="0.2">
      <c r="A226" s="53"/>
      <c r="B226" s="53"/>
      <c r="C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ht="12.75" x14ac:dyDescent="0.2">
      <c r="A227" s="53"/>
      <c r="B227" s="53"/>
      <c r="C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ht="12.75" x14ac:dyDescent="0.2">
      <c r="A228" s="53"/>
      <c r="B228" s="53"/>
      <c r="C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ht="12.75" x14ac:dyDescent="0.2">
      <c r="A229" s="53"/>
      <c r="B229" s="53"/>
      <c r="C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ht="12.75" x14ac:dyDescent="0.2">
      <c r="A230" s="53"/>
      <c r="B230" s="53"/>
      <c r="C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ht="12.75" x14ac:dyDescent="0.2">
      <c r="A231" s="53"/>
      <c r="B231" s="53"/>
      <c r="C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ht="12.75" x14ac:dyDescent="0.2">
      <c r="A232" s="53"/>
      <c r="B232" s="53"/>
      <c r="C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ht="12.75" x14ac:dyDescent="0.2">
      <c r="A233" s="53"/>
      <c r="B233" s="53"/>
      <c r="C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ht="12.75" x14ac:dyDescent="0.2">
      <c r="A234" s="53"/>
      <c r="B234" s="53"/>
      <c r="C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ht="12.75" x14ac:dyDescent="0.2">
      <c r="A235" s="53"/>
      <c r="B235" s="53"/>
      <c r="C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ht="12.75" x14ac:dyDescent="0.2">
      <c r="A236" s="53"/>
      <c r="B236" s="53"/>
      <c r="C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ht="12.75" x14ac:dyDescent="0.2">
      <c r="A237" s="53"/>
      <c r="B237" s="53"/>
      <c r="C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ht="12.75" x14ac:dyDescent="0.2">
      <c r="A238" s="53"/>
      <c r="B238" s="53"/>
      <c r="C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ht="12.75" x14ac:dyDescent="0.2">
      <c r="A239" s="53"/>
      <c r="B239" s="53"/>
      <c r="C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ht="12.75" x14ac:dyDescent="0.2">
      <c r="A240" s="53"/>
      <c r="B240" s="53"/>
      <c r="C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ht="12.75" x14ac:dyDescent="0.2">
      <c r="A241" s="53"/>
      <c r="B241" s="53"/>
      <c r="C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ht="12.75" x14ac:dyDescent="0.2">
      <c r="A242" s="53"/>
      <c r="B242" s="53"/>
      <c r="C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ht="12.75" x14ac:dyDescent="0.2">
      <c r="A243" s="53"/>
      <c r="B243" s="53"/>
      <c r="C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ht="12.75" x14ac:dyDescent="0.2">
      <c r="A244" s="53"/>
      <c r="B244" s="53"/>
      <c r="C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ht="12.75" x14ac:dyDescent="0.2">
      <c r="A245" s="53"/>
      <c r="B245" s="53"/>
      <c r="C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ht="12.75" x14ac:dyDescent="0.2">
      <c r="A246" s="53"/>
      <c r="B246" s="53"/>
      <c r="C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ht="12.75" x14ac:dyDescent="0.2">
      <c r="A247" s="53"/>
      <c r="B247" s="53"/>
      <c r="C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ht="12.75" x14ac:dyDescent="0.2">
      <c r="A248" s="53"/>
      <c r="B248" s="53"/>
      <c r="C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ht="12.75" x14ac:dyDescent="0.2">
      <c r="A249" s="53"/>
      <c r="B249" s="53"/>
      <c r="C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ht="12.75" x14ac:dyDescent="0.2">
      <c r="A250" s="53"/>
      <c r="B250" s="53"/>
      <c r="C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ht="12.75" x14ac:dyDescent="0.2">
      <c r="A251" s="53"/>
      <c r="B251" s="53"/>
      <c r="C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ht="12.75" x14ac:dyDescent="0.2">
      <c r="A252" s="53"/>
      <c r="B252" s="53"/>
      <c r="C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ht="12.75" x14ac:dyDescent="0.2">
      <c r="A253" s="53"/>
      <c r="B253" s="53"/>
      <c r="C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ht="12.75" x14ac:dyDescent="0.2">
      <c r="A254" s="53"/>
      <c r="B254" s="53"/>
      <c r="C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ht="12.75" x14ac:dyDescent="0.2">
      <c r="A255" s="53"/>
      <c r="B255" s="53"/>
      <c r="C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ht="12.75" x14ac:dyDescent="0.2">
      <c r="A256" s="53"/>
      <c r="B256" s="53"/>
      <c r="C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ht="12.75" x14ac:dyDescent="0.2">
      <c r="A257" s="53"/>
      <c r="B257" s="53"/>
      <c r="C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ht="12.75" x14ac:dyDescent="0.2">
      <c r="A258" s="53"/>
      <c r="B258" s="53"/>
      <c r="C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ht="12.75" x14ac:dyDescent="0.2">
      <c r="A259" s="53"/>
      <c r="B259" s="53"/>
      <c r="C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ht="12.75" x14ac:dyDescent="0.2">
      <c r="A260" s="53"/>
      <c r="B260" s="53"/>
      <c r="C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ht="12.75" x14ac:dyDescent="0.2">
      <c r="A261" s="53"/>
      <c r="B261" s="53"/>
      <c r="C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ht="12.75" x14ac:dyDescent="0.2">
      <c r="A262" s="53"/>
      <c r="B262" s="53"/>
      <c r="C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ht="12.75" x14ac:dyDescent="0.2">
      <c r="A263" s="53"/>
      <c r="B263" s="53"/>
      <c r="C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ht="12.75" x14ac:dyDescent="0.2">
      <c r="A264" s="53"/>
      <c r="B264" s="53"/>
      <c r="C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ht="12.75" x14ac:dyDescent="0.2">
      <c r="A265" s="53"/>
      <c r="B265" s="53"/>
      <c r="C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ht="12.75" x14ac:dyDescent="0.2">
      <c r="A266" s="53"/>
      <c r="B266" s="53"/>
      <c r="C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ht="12.75" x14ac:dyDescent="0.2">
      <c r="A267" s="53"/>
      <c r="B267" s="53"/>
      <c r="C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ht="12.75" x14ac:dyDescent="0.2">
      <c r="A268" s="53"/>
      <c r="B268" s="53"/>
      <c r="C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ht="12.75" x14ac:dyDescent="0.2">
      <c r="A269" s="53"/>
      <c r="B269" s="53"/>
      <c r="C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ht="12.75" x14ac:dyDescent="0.2">
      <c r="A270" s="53"/>
      <c r="B270" s="53"/>
      <c r="C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ht="12.75" x14ac:dyDescent="0.2">
      <c r="A271" s="53"/>
      <c r="B271" s="53"/>
      <c r="C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ht="12.75" x14ac:dyDescent="0.2">
      <c r="A272" s="53"/>
      <c r="B272" s="53"/>
      <c r="C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ht="12.75" x14ac:dyDescent="0.2">
      <c r="A273" s="53"/>
      <c r="B273" s="53"/>
      <c r="C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ht="12.75" x14ac:dyDescent="0.2">
      <c r="A274" s="53"/>
      <c r="B274" s="53"/>
      <c r="C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ht="12.75" x14ac:dyDescent="0.2">
      <c r="A275" s="53"/>
      <c r="B275" s="53"/>
      <c r="C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ht="12.75" x14ac:dyDescent="0.2">
      <c r="A276" s="53"/>
      <c r="B276" s="53"/>
      <c r="C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ht="12.75" x14ac:dyDescent="0.2">
      <c r="A277" s="53"/>
      <c r="B277" s="53"/>
      <c r="C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ht="12.75" x14ac:dyDescent="0.2">
      <c r="A278" s="53"/>
      <c r="B278" s="53"/>
      <c r="C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ht="12.75" x14ac:dyDescent="0.2">
      <c r="A279" s="53"/>
      <c r="B279" s="53"/>
      <c r="C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ht="12.75" x14ac:dyDescent="0.2">
      <c r="A280" s="53"/>
      <c r="B280" s="53"/>
      <c r="C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ht="12.75" x14ac:dyDescent="0.2">
      <c r="A281" s="53"/>
      <c r="B281" s="53"/>
      <c r="C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ht="12.75" x14ac:dyDescent="0.2">
      <c r="A282" s="53"/>
      <c r="B282" s="53"/>
      <c r="C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ht="12.75" x14ac:dyDescent="0.2">
      <c r="A283" s="53"/>
      <c r="B283" s="53"/>
      <c r="C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ht="12.75" x14ac:dyDescent="0.2">
      <c r="A284" s="53"/>
      <c r="B284" s="53"/>
      <c r="C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ht="12.75" x14ac:dyDescent="0.2">
      <c r="A285" s="53"/>
      <c r="B285" s="53"/>
      <c r="C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ht="12.75" x14ac:dyDescent="0.2">
      <c r="A286" s="53"/>
      <c r="B286" s="53"/>
      <c r="C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ht="12.75" x14ac:dyDescent="0.2">
      <c r="A287" s="53"/>
      <c r="B287" s="53"/>
      <c r="C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ht="12.75" x14ac:dyDescent="0.2">
      <c r="A288" s="53"/>
      <c r="B288" s="53"/>
      <c r="C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ht="12.75" x14ac:dyDescent="0.2">
      <c r="A289" s="53"/>
      <c r="B289" s="53"/>
      <c r="C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ht="12.75" x14ac:dyDescent="0.2">
      <c r="A290" s="53"/>
      <c r="B290" s="53"/>
      <c r="C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ht="12.75" x14ac:dyDescent="0.2">
      <c r="A291" s="53"/>
      <c r="B291" s="53"/>
      <c r="C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ht="12.75" x14ac:dyDescent="0.2">
      <c r="A292" s="53"/>
      <c r="B292" s="53"/>
      <c r="C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ht="12.75" x14ac:dyDescent="0.2">
      <c r="A293" s="53"/>
      <c r="B293" s="53"/>
      <c r="C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ht="12.75" x14ac:dyDescent="0.2">
      <c r="A294" s="53"/>
      <c r="B294" s="53"/>
      <c r="C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ht="12.75" x14ac:dyDescent="0.2">
      <c r="A295" s="53"/>
      <c r="B295" s="53"/>
      <c r="C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ht="12.75" x14ac:dyDescent="0.2">
      <c r="A296" s="53"/>
      <c r="B296" s="53"/>
      <c r="C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ht="12.75" x14ac:dyDescent="0.2">
      <c r="A297" s="53"/>
      <c r="B297" s="53"/>
      <c r="C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ht="12.75" x14ac:dyDescent="0.2">
      <c r="A298" s="53"/>
      <c r="B298" s="53"/>
      <c r="C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ht="12.75" x14ac:dyDescent="0.2">
      <c r="A299" s="53"/>
      <c r="B299" s="53"/>
      <c r="C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ht="12.75" x14ac:dyDescent="0.2">
      <c r="A300" s="53"/>
      <c r="B300" s="53"/>
      <c r="C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ht="12.75" x14ac:dyDescent="0.2">
      <c r="A301" s="53"/>
      <c r="B301" s="53"/>
      <c r="C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ht="12.75" x14ac:dyDescent="0.2">
      <c r="A302" s="53"/>
      <c r="B302" s="53"/>
      <c r="C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ht="12.75" x14ac:dyDescent="0.2">
      <c r="A303" s="53"/>
      <c r="B303" s="53"/>
      <c r="C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ht="12.75" x14ac:dyDescent="0.2">
      <c r="A304" s="53"/>
      <c r="B304" s="53"/>
      <c r="C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ht="12.75" x14ac:dyDescent="0.2">
      <c r="A305" s="53"/>
      <c r="B305" s="53"/>
      <c r="C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ht="12.75" x14ac:dyDescent="0.2">
      <c r="A306" s="53"/>
      <c r="B306" s="53"/>
      <c r="C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ht="12.75" x14ac:dyDescent="0.2">
      <c r="A307" s="53"/>
      <c r="B307" s="53"/>
      <c r="C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ht="12.75" x14ac:dyDescent="0.2">
      <c r="A308" s="53"/>
      <c r="B308" s="53"/>
      <c r="C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ht="12.75" x14ac:dyDescent="0.2">
      <c r="A309" s="53"/>
      <c r="B309" s="53"/>
      <c r="C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ht="12.75" x14ac:dyDescent="0.2">
      <c r="A310" s="53"/>
      <c r="B310" s="53"/>
      <c r="C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ht="12.75" x14ac:dyDescent="0.2">
      <c r="A311" s="53"/>
      <c r="B311" s="53"/>
      <c r="C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ht="12.75" x14ac:dyDescent="0.2">
      <c r="A312" s="53"/>
      <c r="B312" s="53"/>
      <c r="C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ht="12.75" x14ac:dyDescent="0.2">
      <c r="A313" s="53"/>
      <c r="B313" s="53"/>
      <c r="C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ht="12.75" x14ac:dyDescent="0.2">
      <c r="A314" s="53"/>
      <c r="B314" s="53"/>
      <c r="C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ht="12.75" x14ac:dyDescent="0.2">
      <c r="A315" s="53"/>
      <c r="B315" s="53"/>
      <c r="C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ht="12.75" x14ac:dyDescent="0.2">
      <c r="A316" s="53"/>
      <c r="B316" s="53"/>
      <c r="C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ht="12.75" x14ac:dyDescent="0.2">
      <c r="A317" s="53"/>
      <c r="B317" s="53"/>
      <c r="C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ht="12.75" x14ac:dyDescent="0.2">
      <c r="A318" s="53"/>
      <c r="B318" s="53"/>
      <c r="C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ht="12.75" x14ac:dyDescent="0.2">
      <c r="A319" s="53"/>
      <c r="B319" s="53"/>
      <c r="C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ht="12.75" x14ac:dyDescent="0.2">
      <c r="A320" s="53"/>
      <c r="B320" s="53"/>
      <c r="C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ht="12.75" x14ac:dyDescent="0.2">
      <c r="A321" s="53"/>
      <c r="B321" s="53"/>
      <c r="C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ht="12.75" x14ac:dyDescent="0.2">
      <c r="A322" s="53"/>
      <c r="B322" s="53"/>
      <c r="C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ht="12.75" x14ac:dyDescent="0.2">
      <c r="A323" s="53"/>
      <c r="B323" s="53"/>
      <c r="C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ht="12.75" x14ac:dyDescent="0.2">
      <c r="A324" s="53"/>
      <c r="B324" s="53"/>
      <c r="C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ht="12.75" x14ac:dyDescent="0.2">
      <c r="A325" s="53"/>
      <c r="B325" s="53"/>
      <c r="C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ht="12.75" x14ac:dyDescent="0.2">
      <c r="A326" s="53"/>
      <c r="B326" s="53"/>
      <c r="C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ht="12.75" x14ac:dyDescent="0.2">
      <c r="A327" s="53"/>
      <c r="B327" s="53"/>
      <c r="C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ht="12.75" x14ac:dyDescent="0.2">
      <c r="A328" s="53"/>
      <c r="B328" s="53"/>
      <c r="C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ht="12.75" x14ac:dyDescent="0.2">
      <c r="A329" s="53"/>
      <c r="B329" s="53"/>
      <c r="C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ht="12.75" x14ac:dyDescent="0.2">
      <c r="A330" s="53"/>
      <c r="B330" s="53"/>
      <c r="C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ht="12.75" x14ac:dyDescent="0.2">
      <c r="A331" s="53"/>
      <c r="B331" s="53"/>
      <c r="C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ht="12.75" x14ac:dyDescent="0.2">
      <c r="A332" s="53"/>
      <c r="B332" s="53"/>
      <c r="C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ht="12.75" x14ac:dyDescent="0.2">
      <c r="A333" s="53"/>
      <c r="B333" s="53"/>
      <c r="C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ht="12.75" x14ac:dyDescent="0.2">
      <c r="A334" s="53"/>
      <c r="B334" s="53"/>
      <c r="C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ht="12.75" x14ac:dyDescent="0.2">
      <c r="A335" s="53"/>
      <c r="B335" s="53"/>
      <c r="C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ht="12.75" x14ac:dyDescent="0.2">
      <c r="A336" s="53"/>
      <c r="B336" s="53"/>
      <c r="C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ht="12.75" x14ac:dyDescent="0.2">
      <c r="A337" s="53"/>
      <c r="B337" s="53"/>
      <c r="C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ht="12.75" x14ac:dyDescent="0.2">
      <c r="A338" s="53"/>
      <c r="B338" s="53"/>
      <c r="C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ht="12.75" x14ac:dyDescent="0.2">
      <c r="A339" s="53"/>
      <c r="B339" s="53"/>
      <c r="C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ht="12.75" x14ac:dyDescent="0.2">
      <c r="A340" s="53"/>
      <c r="B340" s="53"/>
      <c r="C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ht="12.75" x14ac:dyDescent="0.2">
      <c r="A341" s="53"/>
      <c r="B341" s="53"/>
      <c r="C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ht="12.75" x14ac:dyDescent="0.2">
      <c r="A342" s="53"/>
      <c r="B342" s="53"/>
      <c r="C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ht="12.75" x14ac:dyDescent="0.2">
      <c r="A343" s="53"/>
      <c r="B343" s="53"/>
      <c r="C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ht="12.75" x14ac:dyDescent="0.2">
      <c r="A344" s="53"/>
      <c r="B344" s="53"/>
      <c r="C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ht="12.75" x14ac:dyDescent="0.2">
      <c r="A345" s="53"/>
      <c r="B345" s="53"/>
      <c r="C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ht="12.75" x14ac:dyDescent="0.2">
      <c r="A346" s="53"/>
      <c r="B346" s="53"/>
      <c r="C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ht="12.75" x14ac:dyDescent="0.2">
      <c r="A347" s="53"/>
      <c r="B347" s="53"/>
      <c r="C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ht="12.75" x14ac:dyDescent="0.2">
      <c r="A348" s="53"/>
      <c r="B348" s="53"/>
      <c r="C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ht="12.75" x14ac:dyDescent="0.2">
      <c r="A349" s="53"/>
      <c r="B349" s="53"/>
      <c r="C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ht="12.75" x14ac:dyDescent="0.2">
      <c r="A350" s="53"/>
      <c r="B350" s="53"/>
      <c r="C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ht="12.75" x14ac:dyDescent="0.2">
      <c r="A351" s="53"/>
      <c r="B351" s="53"/>
      <c r="C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ht="12.75" x14ac:dyDescent="0.2">
      <c r="A352" s="53"/>
      <c r="B352" s="53"/>
      <c r="C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ht="12.75" x14ac:dyDescent="0.2">
      <c r="A353" s="53"/>
      <c r="B353" s="53"/>
      <c r="C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ht="12.75" x14ac:dyDescent="0.2">
      <c r="A354" s="53"/>
      <c r="B354" s="53"/>
      <c r="C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ht="12.75" x14ac:dyDescent="0.2">
      <c r="A355" s="53"/>
      <c r="B355" s="53"/>
      <c r="C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ht="12.75" x14ac:dyDescent="0.2">
      <c r="A356" s="53"/>
      <c r="B356" s="53"/>
      <c r="C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ht="12.75" x14ac:dyDescent="0.2">
      <c r="A357" s="53"/>
      <c r="B357" s="53"/>
      <c r="C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ht="12.75" x14ac:dyDescent="0.2">
      <c r="A358" s="53"/>
      <c r="B358" s="53"/>
      <c r="C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ht="12.75" x14ac:dyDescent="0.2">
      <c r="A359" s="53"/>
      <c r="B359" s="53"/>
      <c r="C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ht="12.75" x14ac:dyDescent="0.2">
      <c r="A360" s="53"/>
      <c r="B360" s="53"/>
      <c r="C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ht="12.75" x14ac:dyDescent="0.2">
      <c r="A361" s="53"/>
      <c r="B361" s="53"/>
      <c r="C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ht="12.75" x14ac:dyDescent="0.2">
      <c r="A362" s="53"/>
      <c r="B362" s="53"/>
      <c r="C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ht="12.75" x14ac:dyDescent="0.2">
      <c r="A363" s="53"/>
      <c r="B363" s="53"/>
      <c r="C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ht="12.75" x14ac:dyDescent="0.2">
      <c r="A364" s="53"/>
      <c r="B364" s="53"/>
      <c r="C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ht="12.75" x14ac:dyDescent="0.2">
      <c r="A365" s="53"/>
      <c r="B365" s="53"/>
      <c r="C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ht="12.75" x14ac:dyDescent="0.2">
      <c r="A366" s="53"/>
      <c r="B366" s="53"/>
      <c r="C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ht="12.75" x14ac:dyDescent="0.2">
      <c r="A367" s="53"/>
      <c r="B367" s="53"/>
      <c r="C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ht="12.75" x14ac:dyDescent="0.2">
      <c r="A368" s="53"/>
      <c r="B368" s="53"/>
      <c r="C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ht="12.75" x14ac:dyDescent="0.2">
      <c r="A369" s="53"/>
      <c r="B369" s="53"/>
      <c r="C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ht="12.75" x14ac:dyDescent="0.2">
      <c r="A370" s="53"/>
      <c r="B370" s="53"/>
      <c r="C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ht="12.75" x14ac:dyDescent="0.2">
      <c r="A371" s="53"/>
      <c r="B371" s="53"/>
      <c r="C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ht="12.75" x14ac:dyDescent="0.2">
      <c r="A372" s="53"/>
      <c r="B372" s="53"/>
      <c r="C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ht="12.75" x14ac:dyDescent="0.2">
      <c r="A373" s="53"/>
      <c r="B373" s="53"/>
      <c r="C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ht="12.75" x14ac:dyDescent="0.2">
      <c r="A374" s="53"/>
      <c r="B374" s="53"/>
      <c r="C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ht="12.75" x14ac:dyDescent="0.2">
      <c r="A375" s="53"/>
      <c r="B375" s="53"/>
      <c r="C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ht="12.75" x14ac:dyDescent="0.2">
      <c r="A376" s="53"/>
      <c r="B376" s="53"/>
      <c r="C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ht="12.75" x14ac:dyDescent="0.2">
      <c r="A377" s="53"/>
      <c r="B377" s="53"/>
      <c r="C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ht="12.75" x14ac:dyDescent="0.2">
      <c r="A378" s="53"/>
      <c r="B378" s="53"/>
      <c r="C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ht="12.75" x14ac:dyDescent="0.2">
      <c r="A379" s="53"/>
      <c r="B379" s="53"/>
      <c r="C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ht="12.75" x14ac:dyDescent="0.2">
      <c r="A380" s="53"/>
      <c r="B380" s="53"/>
      <c r="C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ht="12.75" x14ac:dyDescent="0.2">
      <c r="A381" s="53"/>
      <c r="B381" s="53"/>
      <c r="C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ht="12.75" x14ac:dyDescent="0.2">
      <c r="A382" s="53"/>
      <c r="B382" s="53"/>
      <c r="C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ht="12.75" x14ac:dyDescent="0.2">
      <c r="A383" s="53"/>
      <c r="B383" s="53"/>
      <c r="C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ht="12.75" x14ac:dyDescent="0.2">
      <c r="A384" s="53"/>
      <c r="B384" s="53"/>
      <c r="C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ht="12.75" x14ac:dyDescent="0.2">
      <c r="A385" s="53"/>
      <c r="B385" s="53"/>
      <c r="C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ht="12.75" x14ac:dyDescent="0.2">
      <c r="A386" s="53"/>
      <c r="B386" s="53"/>
      <c r="C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ht="12.75" x14ac:dyDescent="0.2">
      <c r="A387" s="53"/>
      <c r="B387" s="53"/>
      <c r="C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ht="12.75" x14ac:dyDescent="0.2">
      <c r="A388" s="53"/>
      <c r="B388" s="53"/>
      <c r="C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ht="12.75" x14ac:dyDescent="0.2">
      <c r="A389" s="53"/>
      <c r="B389" s="53"/>
      <c r="C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ht="12.75" x14ac:dyDescent="0.2">
      <c r="A390" s="53"/>
      <c r="B390" s="53"/>
      <c r="C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ht="12.75" x14ac:dyDescent="0.2">
      <c r="A391" s="53"/>
      <c r="B391" s="53"/>
      <c r="C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ht="12.75" x14ac:dyDescent="0.2">
      <c r="A392" s="53"/>
      <c r="B392" s="53"/>
      <c r="C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ht="12.75" x14ac:dyDescent="0.2">
      <c r="A393" s="53"/>
      <c r="B393" s="53"/>
      <c r="C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ht="12.75" x14ac:dyDescent="0.2">
      <c r="A394" s="53"/>
      <c r="B394" s="53"/>
      <c r="C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ht="12.75" x14ac:dyDescent="0.2">
      <c r="A395" s="53"/>
      <c r="B395" s="53"/>
      <c r="C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ht="12.75" x14ac:dyDescent="0.2">
      <c r="A396" s="53"/>
      <c r="B396" s="53"/>
      <c r="C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ht="12.75" x14ac:dyDescent="0.2">
      <c r="A397" s="53"/>
      <c r="B397" s="53"/>
      <c r="C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ht="12.75" x14ac:dyDescent="0.2">
      <c r="A398" s="53"/>
      <c r="B398" s="53"/>
      <c r="C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ht="12.75" x14ac:dyDescent="0.2">
      <c r="A399" s="53"/>
      <c r="B399" s="53"/>
      <c r="C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ht="12.75" x14ac:dyDescent="0.2">
      <c r="A400" s="53"/>
      <c r="B400" s="53"/>
      <c r="C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ht="12.75" x14ac:dyDescent="0.2">
      <c r="A401" s="53"/>
      <c r="B401" s="53"/>
      <c r="C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ht="12.75" x14ac:dyDescent="0.2">
      <c r="A402" s="53"/>
      <c r="B402" s="53"/>
      <c r="C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ht="12.75" x14ac:dyDescent="0.2">
      <c r="A403" s="53"/>
      <c r="B403" s="53"/>
      <c r="C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ht="12.75" x14ac:dyDescent="0.2">
      <c r="A404" s="53"/>
      <c r="B404" s="53"/>
      <c r="C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ht="12.75" x14ac:dyDescent="0.2">
      <c r="A405" s="53"/>
      <c r="B405" s="53"/>
      <c r="C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ht="12.75" x14ac:dyDescent="0.2">
      <c r="A406" s="53"/>
      <c r="B406" s="53"/>
      <c r="C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ht="12.75" x14ac:dyDescent="0.2">
      <c r="A407" s="53"/>
      <c r="B407" s="53"/>
      <c r="C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ht="12.75" x14ac:dyDescent="0.2">
      <c r="A408" s="53"/>
      <c r="B408" s="53"/>
      <c r="C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ht="12.75" x14ac:dyDescent="0.2">
      <c r="A409" s="53"/>
      <c r="B409" s="53"/>
      <c r="C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ht="12.75" x14ac:dyDescent="0.2">
      <c r="A410" s="53"/>
      <c r="B410" s="53"/>
      <c r="C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ht="12.75" x14ac:dyDescent="0.2">
      <c r="A411" s="53"/>
      <c r="B411" s="53"/>
      <c r="C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ht="12.75" x14ac:dyDescent="0.2">
      <c r="A412" s="53"/>
      <c r="B412" s="53"/>
      <c r="C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ht="12.75" x14ac:dyDescent="0.2">
      <c r="A413" s="53"/>
      <c r="B413" s="53"/>
      <c r="C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ht="12.75" x14ac:dyDescent="0.2">
      <c r="A414" s="53"/>
      <c r="B414" s="53"/>
      <c r="C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ht="12.75" x14ac:dyDescent="0.2">
      <c r="A415" s="53"/>
      <c r="B415" s="53"/>
      <c r="C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ht="12.75" x14ac:dyDescent="0.2">
      <c r="A416" s="53"/>
      <c r="B416" s="53"/>
      <c r="C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ht="12.75" x14ac:dyDescent="0.2">
      <c r="A417" s="53"/>
      <c r="B417" s="53"/>
      <c r="C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ht="12.75" x14ac:dyDescent="0.2">
      <c r="A418" s="53"/>
      <c r="B418" s="53"/>
      <c r="C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ht="12.75" x14ac:dyDescent="0.2">
      <c r="A419" s="53"/>
      <c r="B419" s="53"/>
      <c r="C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ht="12.75" x14ac:dyDescent="0.2">
      <c r="A420" s="53"/>
      <c r="B420" s="53"/>
      <c r="C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ht="12.75" x14ac:dyDescent="0.2">
      <c r="A421" s="53"/>
      <c r="B421" s="53"/>
      <c r="C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ht="12.75" x14ac:dyDescent="0.2">
      <c r="A422" s="53"/>
      <c r="B422" s="53"/>
      <c r="C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ht="12.75" x14ac:dyDescent="0.2">
      <c r="A423" s="53"/>
      <c r="B423" s="53"/>
      <c r="C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ht="12.75" x14ac:dyDescent="0.2">
      <c r="A424" s="53"/>
      <c r="B424" s="53"/>
      <c r="C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ht="12.75" x14ac:dyDescent="0.2">
      <c r="A425" s="53"/>
      <c r="B425" s="53"/>
      <c r="C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ht="12.75" x14ac:dyDescent="0.2">
      <c r="A426" s="53"/>
      <c r="B426" s="53"/>
      <c r="C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ht="12.75" x14ac:dyDescent="0.2">
      <c r="A427" s="53"/>
      <c r="B427" s="53"/>
      <c r="C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ht="12.75" x14ac:dyDescent="0.2">
      <c r="A428" s="53"/>
      <c r="B428" s="53"/>
      <c r="C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ht="12.75" x14ac:dyDescent="0.2">
      <c r="A429" s="53"/>
      <c r="B429" s="53"/>
      <c r="C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ht="12.75" x14ac:dyDescent="0.2">
      <c r="A430" s="53"/>
      <c r="B430" s="53"/>
      <c r="C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ht="12.75" x14ac:dyDescent="0.2">
      <c r="A431" s="53"/>
      <c r="B431" s="53"/>
      <c r="C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ht="12.75" x14ac:dyDescent="0.2">
      <c r="A432" s="53"/>
      <c r="B432" s="53"/>
      <c r="C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ht="12.75" x14ac:dyDescent="0.2">
      <c r="A433" s="53"/>
      <c r="B433" s="53"/>
      <c r="C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ht="12.75" x14ac:dyDescent="0.2">
      <c r="A434" s="53"/>
      <c r="B434" s="53"/>
      <c r="C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ht="12.75" x14ac:dyDescent="0.2">
      <c r="A435" s="53"/>
      <c r="B435" s="53"/>
      <c r="C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ht="12.75" x14ac:dyDescent="0.2">
      <c r="A436" s="53"/>
      <c r="B436" s="53"/>
      <c r="C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ht="12.75" x14ac:dyDescent="0.2">
      <c r="A437" s="53"/>
      <c r="B437" s="53"/>
      <c r="C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ht="12.75" x14ac:dyDescent="0.2">
      <c r="A438" s="53"/>
      <c r="B438" s="53"/>
      <c r="C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ht="12.75" x14ac:dyDescent="0.2">
      <c r="A439" s="53"/>
      <c r="B439" s="53"/>
      <c r="C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ht="12.75" x14ac:dyDescent="0.2">
      <c r="A440" s="53"/>
      <c r="B440" s="53"/>
      <c r="C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ht="12.75" x14ac:dyDescent="0.2">
      <c r="A441" s="53"/>
      <c r="B441" s="53"/>
      <c r="C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ht="12.75" x14ac:dyDescent="0.2">
      <c r="A442" s="53"/>
      <c r="B442" s="53"/>
      <c r="C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ht="12.75" x14ac:dyDescent="0.2">
      <c r="A443" s="53"/>
      <c r="B443" s="53"/>
      <c r="C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ht="12.75" x14ac:dyDescent="0.2">
      <c r="A444" s="53"/>
      <c r="B444" s="53"/>
      <c r="C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ht="12.75" x14ac:dyDescent="0.2">
      <c r="A445" s="53"/>
      <c r="B445" s="53"/>
      <c r="C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ht="12.75" x14ac:dyDescent="0.2">
      <c r="A446" s="53"/>
      <c r="B446" s="53"/>
      <c r="C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ht="12.75" x14ac:dyDescent="0.2">
      <c r="A447" s="53"/>
      <c r="B447" s="53"/>
      <c r="C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ht="12.75" x14ac:dyDescent="0.2">
      <c r="A448" s="53"/>
      <c r="B448" s="53"/>
      <c r="C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ht="12.75" x14ac:dyDescent="0.2">
      <c r="A449" s="53"/>
      <c r="B449" s="53"/>
      <c r="C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ht="12.75" x14ac:dyDescent="0.2">
      <c r="A450" s="53"/>
      <c r="B450" s="53"/>
      <c r="C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ht="12.75" x14ac:dyDescent="0.2">
      <c r="A451" s="53"/>
      <c r="B451" s="53"/>
      <c r="C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ht="12.75" x14ac:dyDescent="0.2">
      <c r="A452" s="53"/>
      <c r="B452" s="53"/>
      <c r="C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ht="12.75" x14ac:dyDescent="0.2">
      <c r="A453" s="53"/>
      <c r="B453" s="53"/>
      <c r="C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ht="12.75" x14ac:dyDescent="0.2">
      <c r="A454" s="53"/>
      <c r="B454" s="53"/>
      <c r="C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ht="12.75" x14ac:dyDescent="0.2">
      <c r="A455" s="53"/>
      <c r="B455" s="53"/>
      <c r="C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ht="12.75" x14ac:dyDescent="0.2">
      <c r="A456" s="53"/>
      <c r="B456" s="53"/>
      <c r="C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ht="12.75" x14ac:dyDescent="0.2">
      <c r="A457" s="53"/>
      <c r="B457" s="53"/>
      <c r="C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ht="12.75" x14ac:dyDescent="0.2">
      <c r="A458" s="53"/>
      <c r="B458" s="53"/>
      <c r="C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ht="12.75" x14ac:dyDescent="0.2">
      <c r="A459" s="53"/>
      <c r="B459" s="53"/>
      <c r="C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ht="12.75" x14ac:dyDescent="0.2">
      <c r="A460" s="53"/>
      <c r="B460" s="53"/>
      <c r="C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ht="12.75" x14ac:dyDescent="0.2">
      <c r="A461" s="53"/>
      <c r="B461" s="53"/>
      <c r="C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ht="12.75" x14ac:dyDescent="0.2">
      <c r="A462" s="53"/>
      <c r="B462" s="53"/>
      <c r="C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ht="12.75" x14ac:dyDescent="0.2">
      <c r="A463" s="53"/>
      <c r="B463" s="53"/>
      <c r="C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ht="12.75" x14ac:dyDescent="0.2">
      <c r="A464" s="53"/>
      <c r="B464" s="53"/>
      <c r="C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ht="12.75" x14ac:dyDescent="0.2">
      <c r="A465" s="53"/>
      <c r="B465" s="53"/>
      <c r="C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ht="12.75" x14ac:dyDescent="0.2">
      <c r="A466" s="53"/>
      <c r="B466" s="53"/>
      <c r="C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ht="12.75" x14ac:dyDescent="0.2">
      <c r="A467" s="53"/>
      <c r="B467" s="53"/>
      <c r="C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ht="12.75" x14ac:dyDescent="0.2">
      <c r="A468" s="53"/>
      <c r="B468" s="53"/>
      <c r="C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ht="12.75" x14ac:dyDescent="0.2">
      <c r="A469" s="53"/>
      <c r="B469" s="53"/>
      <c r="C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ht="12.75" x14ac:dyDescent="0.2">
      <c r="A470" s="53"/>
      <c r="B470" s="53"/>
      <c r="C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ht="12.75" x14ac:dyDescent="0.2">
      <c r="A471" s="53"/>
      <c r="B471" s="53"/>
      <c r="C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ht="12.75" x14ac:dyDescent="0.2">
      <c r="A472" s="53"/>
      <c r="B472" s="53"/>
      <c r="C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ht="12.75" x14ac:dyDescent="0.2">
      <c r="A473" s="53"/>
      <c r="B473" s="53"/>
      <c r="C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ht="12.75" x14ac:dyDescent="0.2">
      <c r="A474" s="53"/>
      <c r="B474" s="53"/>
      <c r="C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ht="12.75" x14ac:dyDescent="0.2">
      <c r="A475" s="53"/>
      <c r="B475" s="53"/>
      <c r="C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ht="12.75" x14ac:dyDescent="0.2">
      <c r="A476" s="53"/>
      <c r="B476" s="53"/>
      <c r="C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ht="12.75" x14ac:dyDescent="0.2">
      <c r="A477" s="53"/>
      <c r="B477" s="53"/>
      <c r="C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ht="12.75" x14ac:dyDescent="0.2">
      <c r="A478" s="53"/>
      <c r="B478" s="53"/>
      <c r="C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ht="12.75" x14ac:dyDescent="0.2">
      <c r="A479" s="53"/>
      <c r="B479" s="53"/>
      <c r="C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ht="12.75" x14ac:dyDescent="0.2">
      <c r="A480" s="53"/>
      <c r="B480" s="53"/>
      <c r="C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ht="12.75" x14ac:dyDescent="0.2">
      <c r="A481" s="53"/>
      <c r="B481" s="53"/>
      <c r="C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ht="12.75" x14ac:dyDescent="0.2">
      <c r="A482" s="53"/>
      <c r="B482" s="53"/>
      <c r="C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ht="12.75" x14ac:dyDescent="0.2">
      <c r="A483" s="53"/>
      <c r="B483" s="53"/>
      <c r="C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ht="12.75" x14ac:dyDescent="0.2">
      <c r="A484" s="53"/>
      <c r="B484" s="53"/>
      <c r="C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ht="12.75" x14ac:dyDescent="0.2">
      <c r="A485" s="53"/>
      <c r="B485" s="53"/>
      <c r="C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ht="12.75" x14ac:dyDescent="0.2">
      <c r="A486" s="53"/>
      <c r="B486" s="53"/>
      <c r="C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ht="12.75" x14ac:dyDescent="0.2">
      <c r="A487" s="53"/>
      <c r="B487" s="53"/>
      <c r="C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ht="12.75" x14ac:dyDescent="0.2">
      <c r="A488" s="53"/>
      <c r="B488" s="53"/>
      <c r="C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ht="12.75" x14ac:dyDescent="0.2">
      <c r="A489" s="53"/>
      <c r="B489" s="53"/>
      <c r="C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ht="12.75" x14ac:dyDescent="0.2">
      <c r="A490" s="53"/>
      <c r="B490" s="53"/>
      <c r="C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ht="12.75" x14ac:dyDescent="0.2">
      <c r="A491" s="53"/>
      <c r="B491" s="53"/>
      <c r="C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ht="12.75" x14ac:dyDescent="0.2">
      <c r="A492" s="53"/>
      <c r="B492" s="53"/>
      <c r="C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ht="12.75" x14ac:dyDescent="0.2">
      <c r="A493" s="53"/>
      <c r="B493" s="53"/>
      <c r="C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ht="12.75" x14ac:dyDescent="0.2">
      <c r="A494" s="53"/>
      <c r="B494" s="53"/>
      <c r="C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ht="12.75" x14ac:dyDescent="0.2">
      <c r="A495" s="53"/>
      <c r="B495" s="53"/>
      <c r="C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ht="12.75" x14ac:dyDescent="0.2">
      <c r="A496" s="53"/>
      <c r="B496" s="53"/>
      <c r="C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ht="12.75" x14ac:dyDescent="0.2">
      <c r="A497" s="53"/>
      <c r="B497" s="53"/>
      <c r="C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ht="12.75" x14ac:dyDescent="0.2">
      <c r="A498" s="53"/>
      <c r="B498" s="53"/>
      <c r="C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ht="12.75" x14ac:dyDescent="0.2">
      <c r="A499" s="53"/>
      <c r="B499" s="53"/>
      <c r="C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ht="12.75" x14ac:dyDescent="0.2">
      <c r="A500" s="53"/>
      <c r="B500" s="53"/>
      <c r="C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spans="1:48" ht="12.75" x14ac:dyDescent="0.2">
      <c r="A501" s="53"/>
      <c r="B501" s="53"/>
      <c r="C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spans="1:48" ht="12.75" x14ac:dyDescent="0.2">
      <c r="A502" s="53"/>
      <c r="B502" s="53"/>
      <c r="C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spans="1:48" ht="12.75" x14ac:dyDescent="0.2">
      <c r="A503" s="53"/>
      <c r="B503" s="53"/>
      <c r="C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spans="1:48" ht="12.75" x14ac:dyDescent="0.2">
      <c r="A504" s="53"/>
      <c r="B504" s="53"/>
      <c r="C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spans="1:48" ht="12.75" x14ac:dyDescent="0.2">
      <c r="A505" s="53"/>
      <c r="B505" s="53"/>
      <c r="C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spans="1:48" ht="12.75" x14ac:dyDescent="0.2">
      <c r="A506" s="53"/>
      <c r="B506" s="53"/>
      <c r="C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spans="1:48" ht="12.75" x14ac:dyDescent="0.2">
      <c r="A507" s="53"/>
      <c r="B507" s="53"/>
      <c r="C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spans="1:48" ht="12.75" x14ac:dyDescent="0.2">
      <c r="A508" s="53"/>
      <c r="B508" s="53"/>
      <c r="C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spans="1:48" ht="12.75" x14ac:dyDescent="0.2">
      <c r="A509" s="53"/>
      <c r="B509" s="53"/>
      <c r="C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spans="1:48" ht="12.75" x14ac:dyDescent="0.2">
      <c r="A510" s="53"/>
      <c r="B510" s="53"/>
      <c r="C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spans="1:48" ht="12.75" x14ac:dyDescent="0.2">
      <c r="A511" s="53"/>
      <c r="B511" s="53"/>
      <c r="C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spans="1:48" ht="12.75" x14ac:dyDescent="0.2">
      <c r="A512" s="53"/>
      <c r="B512" s="53"/>
      <c r="C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spans="1:48" ht="12.75" x14ac:dyDescent="0.2">
      <c r="A513" s="53"/>
      <c r="B513" s="53"/>
      <c r="C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spans="1:48" ht="12.75" x14ac:dyDescent="0.2">
      <c r="A514" s="53"/>
      <c r="B514" s="53"/>
      <c r="C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spans="1:48" ht="12.75" x14ac:dyDescent="0.2">
      <c r="A515" s="53"/>
      <c r="B515" s="53"/>
      <c r="C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spans="1:48" ht="12.75" x14ac:dyDescent="0.2">
      <c r="A516" s="53"/>
      <c r="B516" s="53"/>
      <c r="C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spans="1:48" ht="12.75" x14ac:dyDescent="0.2">
      <c r="A517" s="53"/>
      <c r="B517" s="53"/>
      <c r="C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spans="1:48" ht="12.75" x14ac:dyDescent="0.2">
      <c r="A518" s="53"/>
      <c r="B518" s="53"/>
      <c r="C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spans="1:48" ht="12.75" x14ac:dyDescent="0.2">
      <c r="A519" s="53"/>
      <c r="B519" s="53"/>
      <c r="C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spans="1:48" ht="12.75" x14ac:dyDescent="0.2">
      <c r="A520" s="53"/>
      <c r="B520" s="53"/>
      <c r="C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spans="1:48" ht="12.75" x14ac:dyDescent="0.2">
      <c r="A521" s="53"/>
      <c r="B521" s="53"/>
      <c r="C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spans="1:48" ht="12.75" x14ac:dyDescent="0.2">
      <c r="A522" s="53"/>
      <c r="B522" s="53"/>
      <c r="C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spans="1:48" ht="12.75" x14ac:dyDescent="0.2">
      <c r="A523" s="53"/>
      <c r="B523" s="53"/>
      <c r="C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spans="1:48" ht="12.75" x14ac:dyDescent="0.2">
      <c r="A524" s="53"/>
      <c r="B524" s="53"/>
      <c r="C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spans="1:48" ht="12.75" x14ac:dyDescent="0.2">
      <c r="A525" s="53"/>
      <c r="B525" s="53"/>
      <c r="C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spans="1:48" ht="12.75" x14ac:dyDescent="0.2">
      <c r="A526" s="53"/>
      <c r="B526" s="53"/>
      <c r="C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spans="1:48" ht="12.75" x14ac:dyDescent="0.2">
      <c r="A527" s="53"/>
      <c r="B527" s="53"/>
      <c r="C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spans="1:48" ht="12.75" x14ac:dyDescent="0.2">
      <c r="A528" s="53"/>
      <c r="B528" s="53"/>
      <c r="C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spans="1:48" ht="12.75" x14ac:dyDescent="0.2">
      <c r="A529" s="53"/>
      <c r="B529" s="53"/>
      <c r="C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spans="1:48" ht="12.75" x14ac:dyDescent="0.2">
      <c r="A530" s="53"/>
      <c r="B530" s="53"/>
      <c r="C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spans="1:48" ht="12.75" x14ac:dyDescent="0.2">
      <c r="A531" s="53"/>
      <c r="B531" s="53"/>
      <c r="C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spans="1:48" ht="12.75" x14ac:dyDescent="0.2">
      <c r="A532" s="53"/>
      <c r="B532" s="53"/>
      <c r="C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spans="1:48" ht="12.75" x14ac:dyDescent="0.2">
      <c r="A533" s="53"/>
      <c r="B533" s="53"/>
      <c r="C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spans="1:48" ht="12.75" x14ac:dyDescent="0.2">
      <c r="A534" s="53"/>
      <c r="B534" s="53"/>
      <c r="C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spans="1:48" ht="12.75" x14ac:dyDescent="0.2">
      <c r="A535" s="53"/>
      <c r="B535" s="53"/>
      <c r="C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spans="1:48" ht="12.75" x14ac:dyDescent="0.2">
      <c r="A536" s="53"/>
      <c r="B536" s="53"/>
      <c r="C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spans="1:48" ht="12.75" x14ac:dyDescent="0.2">
      <c r="A537" s="53"/>
      <c r="B537" s="53"/>
      <c r="C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spans="1:48" ht="12.75" x14ac:dyDescent="0.2">
      <c r="A538" s="53"/>
      <c r="B538" s="53"/>
      <c r="C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spans="1:48" ht="12.75" x14ac:dyDescent="0.2">
      <c r="A539" s="53"/>
      <c r="B539" s="53"/>
      <c r="C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spans="1:48" ht="12.75" x14ac:dyDescent="0.2">
      <c r="A540" s="53"/>
      <c r="B540" s="53"/>
      <c r="C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spans="1:48" ht="12.75" x14ac:dyDescent="0.2">
      <c r="A541" s="53"/>
      <c r="B541" s="53"/>
      <c r="C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spans="1:48" ht="12.75" x14ac:dyDescent="0.2">
      <c r="A542" s="53"/>
      <c r="B542" s="53"/>
      <c r="C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spans="1:48" ht="12.75" x14ac:dyDescent="0.2">
      <c r="A543" s="53"/>
      <c r="B543" s="53"/>
      <c r="C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spans="1:48" ht="12.75" x14ac:dyDescent="0.2">
      <c r="A544" s="53"/>
      <c r="B544" s="53"/>
      <c r="C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spans="1:48" ht="12.75" x14ac:dyDescent="0.2">
      <c r="A545" s="53"/>
      <c r="B545" s="53"/>
      <c r="C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spans="1:48" ht="12.75" x14ac:dyDescent="0.2">
      <c r="A546" s="53"/>
      <c r="B546" s="53"/>
      <c r="C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spans="1:48" ht="12.75" x14ac:dyDescent="0.2">
      <c r="A547" s="53"/>
      <c r="B547" s="53"/>
      <c r="C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spans="1:48" ht="12.75" x14ac:dyDescent="0.2">
      <c r="A548" s="53"/>
      <c r="B548" s="53"/>
      <c r="C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spans="1:48" ht="12.75" x14ac:dyDescent="0.2">
      <c r="A549" s="53"/>
      <c r="B549" s="53"/>
      <c r="C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spans="1:48" ht="12.75" x14ac:dyDescent="0.2">
      <c r="A550" s="53"/>
      <c r="B550" s="53"/>
      <c r="C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spans="1:48" ht="12.75" x14ac:dyDescent="0.2">
      <c r="A551" s="53"/>
      <c r="B551" s="53"/>
      <c r="C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spans="1:48" ht="12.75" x14ac:dyDescent="0.2">
      <c r="A552" s="53"/>
      <c r="B552" s="53"/>
      <c r="C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spans="1:48" ht="12.75" x14ac:dyDescent="0.2">
      <c r="A553" s="53"/>
      <c r="B553" s="53"/>
      <c r="C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spans="1:48" ht="12.75" x14ac:dyDescent="0.2">
      <c r="A554" s="53"/>
      <c r="B554" s="53"/>
      <c r="C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spans="1:48" ht="12.75" x14ac:dyDescent="0.2">
      <c r="A555" s="53"/>
      <c r="B555" s="53"/>
      <c r="C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spans="1:48" ht="12.75" x14ac:dyDescent="0.2">
      <c r="A556" s="53"/>
      <c r="B556" s="53"/>
      <c r="C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spans="1:48" ht="12.75" x14ac:dyDescent="0.2">
      <c r="A557" s="53"/>
      <c r="B557" s="53"/>
      <c r="C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spans="1:48" ht="12.75" x14ac:dyDescent="0.2">
      <c r="A558" s="53"/>
      <c r="B558" s="53"/>
      <c r="C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spans="1:48" ht="12.75" x14ac:dyDescent="0.2">
      <c r="A559" s="53"/>
      <c r="B559" s="53"/>
      <c r="C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spans="1:48" ht="12.75" x14ac:dyDescent="0.2">
      <c r="A560" s="53"/>
      <c r="B560" s="53"/>
      <c r="C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spans="1:48" ht="12.75" x14ac:dyDescent="0.2">
      <c r="A561" s="53"/>
      <c r="B561" s="53"/>
      <c r="C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spans="1:48" ht="12.75" x14ac:dyDescent="0.2">
      <c r="A562" s="53"/>
      <c r="B562" s="53"/>
      <c r="C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spans="1:48" ht="12.75" x14ac:dyDescent="0.2">
      <c r="A563" s="53"/>
      <c r="B563" s="53"/>
      <c r="C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spans="1:48" ht="12.75" x14ac:dyDescent="0.2">
      <c r="A564" s="53"/>
      <c r="B564" s="53"/>
      <c r="C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spans="1:48" ht="12.75" x14ac:dyDescent="0.2">
      <c r="A565" s="53"/>
      <c r="B565" s="53"/>
      <c r="C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spans="1:48" ht="12.75" x14ac:dyDescent="0.2">
      <c r="A566" s="53"/>
      <c r="B566" s="53"/>
      <c r="C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spans="1:48" ht="12.75" x14ac:dyDescent="0.2">
      <c r="A567" s="53"/>
      <c r="B567" s="53"/>
      <c r="C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spans="1:48" ht="12.75" x14ac:dyDescent="0.2">
      <c r="A568" s="53"/>
      <c r="B568" s="53"/>
      <c r="C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spans="1:48" ht="12.75" x14ac:dyDescent="0.2">
      <c r="A569" s="53"/>
      <c r="B569" s="53"/>
      <c r="C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spans="1:48" ht="12.75" x14ac:dyDescent="0.2">
      <c r="A570" s="53"/>
      <c r="B570" s="53"/>
      <c r="C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spans="1:48" ht="12.75" x14ac:dyDescent="0.2">
      <c r="A571" s="53"/>
      <c r="B571" s="53"/>
      <c r="C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spans="1:48" ht="12.75" x14ac:dyDescent="0.2">
      <c r="A572" s="53"/>
      <c r="B572" s="53"/>
      <c r="C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spans="1:48" ht="12.75" x14ac:dyDescent="0.2">
      <c r="A573" s="53"/>
      <c r="B573" s="53"/>
      <c r="C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spans="1:48" ht="12.75" x14ac:dyDescent="0.2">
      <c r="A574" s="53"/>
      <c r="B574" s="53"/>
      <c r="C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spans="1:48" ht="12.75" x14ac:dyDescent="0.2">
      <c r="A575" s="53"/>
      <c r="B575" s="53"/>
      <c r="C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spans="1:48" ht="12.75" x14ac:dyDescent="0.2">
      <c r="A576" s="53"/>
      <c r="B576" s="53"/>
      <c r="C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spans="1:48" ht="12.75" x14ac:dyDescent="0.2">
      <c r="A577" s="53"/>
      <c r="B577" s="53"/>
      <c r="C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spans="1:48" ht="12.75" x14ac:dyDescent="0.2">
      <c r="A578" s="53"/>
      <c r="B578" s="53"/>
      <c r="C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spans="1:48" ht="12.75" x14ac:dyDescent="0.2">
      <c r="A579" s="53"/>
      <c r="B579" s="53"/>
      <c r="C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spans="1:48" ht="12.75" x14ac:dyDescent="0.2">
      <c r="A580" s="53"/>
      <c r="B580" s="53"/>
      <c r="C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spans="1:48" ht="12.75" x14ac:dyDescent="0.2">
      <c r="A581" s="53"/>
      <c r="B581" s="53"/>
      <c r="C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spans="1:48" ht="12.75" x14ac:dyDescent="0.2">
      <c r="A582" s="53"/>
      <c r="B582" s="53"/>
      <c r="C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spans="1:48" ht="12.75" x14ac:dyDescent="0.2">
      <c r="A583" s="53"/>
      <c r="B583" s="53"/>
      <c r="C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spans="1:48" ht="12.75" x14ac:dyDescent="0.2">
      <c r="A584" s="53"/>
      <c r="B584" s="53"/>
      <c r="C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spans="1:48" ht="12.75" x14ac:dyDescent="0.2">
      <c r="A585" s="53"/>
      <c r="B585" s="53"/>
      <c r="C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spans="1:48" ht="12.75" x14ac:dyDescent="0.2">
      <c r="A586" s="53"/>
      <c r="B586" s="53"/>
      <c r="C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spans="1:48" ht="12.75" x14ac:dyDescent="0.2">
      <c r="A587" s="53"/>
      <c r="B587" s="53"/>
      <c r="C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spans="1:48" ht="12.75" x14ac:dyDescent="0.2">
      <c r="A588" s="53"/>
      <c r="B588" s="53"/>
      <c r="C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spans="1:48" ht="12.75" x14ac:dyDescent="0.2">
      <c r="A589" s="53"/>
      <c r="B589" s="53"/>
      <c r="C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spans="1:48" ht="12.75" x14ac:dyDescent="0.2">
      <c r="A590" s="53"/>
      <c r="B590" s="53"/>
      <c r="C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spans="1:48" ht="12.75" x14ac:dyDescent="0.2">
      <c r="A591" s="53"/>
      <c r="B591" s="53"/>
      <c r="C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spans="1:48" ht="12.75" x14ac:dyDescent="0.2">
      <c r="A592" s="53"/>
      <c r="B592" s="53"/>
      <c r="C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spans="1:48" ht="12.75" x14ac:dyDescent="0.2">
      <c r="A593" s="53"/>
      <c r="B593" s="53"/>
      <c r="C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spans="1:48" ht="12.75" x14ac:dyDescent="0.2">
      <c r="A594" s="53"/>
      <c r="B594" s="53"/>
      <c r="C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spans="1:48" ht="12.75" x14ac:dyDescent="0.2">
      <c r="A595" s="53"/>
      <c r="B595" s="53"/>
      <c r="C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spans="1:48" ht="12.75" x14ac:dyDescent="0.2">
      <c r="A596" s="53"/>
      <c r="B596" s="53"/>
      <c r="C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spans="1:48" ht="12.75" x14ac:dyDescent="0.2">
      <c r="A597" s="53"/>
      <c r="B597" s="53"/>
      <c r="C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spans="1:48" ht="12.75" x14ac:dyDescent="0.2">
      <c r="A598" s="53"/>
      <c r="B598" s="53"/>
      <c r="C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spans="1:48" ht="12.75" x14ac:dyDescent="0.2">
      <c r="A599" s="53"/>
      <c r="B599" s="53"/>
      <c r="C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spans="1:48" ht="12.75" x14ac:dyDescent="0.2">
      <c r="A600" s="53"/>
      <c r="B600" s="53"/>
      <c r="C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spans="1:48" ht="12.75" x14ac:dyDescent="0.2">
      <c r="A601" s="53"/>
      <c r="B601" s="53"/>
      <c r="C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spans="1:48" ht="12.75" x14ac:dyDescent="0.2">
      <c r="A602" s="53"/>
      <c r="B602" s="53"/>
      <c r="C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spans="1:48" ht="12.75" x14ac:dyDescent="0.2">
      <c r="A603" s="53"/>
      <c r="B603" s="53"/>
      <c r="C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spans="1:48" ht="12.75" x14ac:dyDescent="0.2">
      <c r="A604" s="53"/>
      <c r="B604" s="53"/>
      <c r="C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spans="1:48" ht="12.75" x14ac:dyDescent="0.2">
      <c r="A605" s="53"/>
      <c r="B605" s="53"/>
      <c r="C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spans="1:48" ht="12.75" x14ac:dyDescent="0.2">
      <c r="A606" s="53"/>
      <c r="B606" s="53"/>
      <c r="C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spans="1:48" ht="12.75" x14ac:dyDescent="0.2">
      <c r="A607" s="53"/>
      <c r="B607" s="53"/>
      <c r="C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spans="1:48" ht="12.75" x14ac:dyDescent="0.2">
      <c r="A608" s="53"/>
      <c r="B608" s="53"/>
      <c r="C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spans="1:48" ht="12.75" x14ac:dyDescent="0.2">
      <c r="A609" s="53"/>
      <c r="B609" s="53"/>
      <c r="C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spans="1:48" ht="12.75" x14ac:dyDescent="0.2">
      <c r="A610" s="53"/>
      <c r="B610" s="53"/>
      <c r="C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spans="1:48" ht="12.75" x14ac:dyDescent="0.2">
      <c r="A611" s="53"/>
      <c r="B611" s="53"/>
      <c r="C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spans="1:48" ht="12.75" x14ac:dyDescent="0.2">
      <c r="A612" s="53"/>
      <c r="B612" s="53"/>
      <c r="C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spans="1:48" ht="12.75" x14ac:dyDescent="0.2">
      <c r="A613" s="53"/>
      <c r="B613" s="53"/>
      <c r="C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spans="1:48" ht="12.75" x14ac:dyDescent="0.2">
      <c r="A614" s="53"/>
      <c r="B614" s="53"/>
      <c r="C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spans="1:48" ht="12.75" x14ac:dyDescent="0.2">
      <c r="A615" s="53"/>
      <c r="B615" s="53"/>
      <c r="C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spans="1:48" ht="12.75" x14ac:dyDescent="0.2">
      <c r="A616" s="53"/>
      <c r="B616" s="53"/>
      <c r="C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spans="1:48" ht="12.75" x14ac:dyDescent="0.2">
      <c r="A617" s="53"/>
      <c r="B617" s="53"/>
      <c r="C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spans="1:48" ht="12.75" x14ac:dyDescent="0.2">
      <c r="A618" s="53"/>
      <c r="B618" s="53"/>
      <c r="C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spans="1:48" ht="12.75" x14ac:dyDescent="0.2">
      <c r="A619" s="53"/>
      <c r="B619" s="53"/>
      <c r="C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spans="1:48" ht="12.75" x14ac:dyDescent="0.2">
      <c r="A620" s="53"/>
      <c r="B620" s="53"/>
      <c r="C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spans="1:48" ht="12.75" x14ac:dyDescent="0.2">
      <c r="A621" s="53"/>
      <c r="B621" s="53"/>
      <c r="C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spans="1:48" ht="12.75" x14ac:dyDescent="0.2">
      <c r="A622" s="53"/>
      <c r="B622" s="53"/>
      <c r="C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spans="1:48" ht="12.75" x14ac:dyDescent="0.2">
      <c r="A623" s="53"/>
      <c r="B623" s="53"/>
      <c r="C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spans="1:48" ht="12.75" x14ac:dyDescent="0.2">
      <c r="A624" s="53"/>
      <c r="B624" s="53"/>
      <c r="C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spans="1:48" ht="12.75" x14ac:dyDescent="0.2">
      <c r="A625" s="53"/>
      <c r="B625" s="53"/>
      <c r="C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spans="1:48" ht="12.75" x14ac:dyDescent="0.2">
      <c r="A626" s="53"/>
      <c r="B626" s="53"/>
      <c r="C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spans="1:48" ht="12.75" x14ac:dyDescent="0.2">
      <c r="A627" s="53"/>
      <c r="B627" s="53"/>
      <c r="C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spans="1:48" ht="12.75" x14ac:dyDescent="0.2">
      <c r="A628" s="53"/>
      <c r="B628" s="53"/>
      <c r="C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spans="1:48" ht="12.75" x14ac:dyDescent="0.2">
      <c r="A629" s="53"/>
      <c r="B629" s="53"/>
      <c r="C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spans="1:48" ht="12.75" x14ac:dyDescent="0.2">
      <c r="A630" s="53"/>
      <c r="B630" s="53"/>
      <c r="C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spans="1:48" ht="12.75" x14ac:dyDescent="0.2">
      <c r="A631" s="53"/>
      <c r="B631" s="53"/>
      <c r="C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spans="1:48" ht="12.75" x14ac:dyDescent="0.2">
      <c r="A632" s="53"/>
      <c r="B632" s="53"/>
      <c r="C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spans="1:48" ht="12.75" x14ac:dyDescent="0.2">
      <c r="A633" s="53"/>
      <c r="B633" s="53"/>
      <c r="C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spans="1:48" ht="12.75" x14ac:dyDescent="0.2">
      <c r="A634" s="53"/>
      <c r="B634" s="53"/>
      <c r="C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spans="1:48" ht="12.75" x14ac:dyDescent="0.2">
      <c r="A635" s="53"/>
      <c r="B635" s="53"/>
      <c r="C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spans="1:48" ht="12.75" x14ac:dyDescent="0.2">
      <c r="A636" s="53"/>
      <c r="B636" s="53"/>
      <c r="C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spans="1:48" ht="12.75" x14ac:dyDescent="0.2">
      <c r="A637" s="53"/>
      <c r="B637" s="53"/>
      <c r="C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spans="1:48" ht="12.75" x14ac:dyDescent="0.2">
      <c r="A638" s="53"/>
      <c r="B638" s="53"/>
      <c r="C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spans="1:48" ht="12.75" x14ac:dyDescent="0.2">
      <c r="A639" s="53"/>
      <c r="B639" s="53"/>
      <c r="C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spans="1:48" ht="12.75" x14ac:dyDescent="0.2">
      <c r="A640" s="53"/>
      <c r="B640" s="53"/>
      <c r="C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spans="1:48" ht="12.75" x14ac:dyDescent="0.2">
      <c r="A641" s="53"/>
      <c r="B641" s="53"/>
      <c r="C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spans="1:48" ht="12.75" x14ac:dyDescent="0.2">
      <c r="A642" s="53"/>
      <c r="B642" s="53"/>
      <c r="C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spans="1:48" ht="12.75" x14ac:dyDescent="0.2">
      <c r="A643" s="53"/>
      <c r="B643" s="53"/>
      <c r="C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spans="1:48" ht="12.75" x14ac:dyDescent="0.2">
      <c r="A644" s="53"/>
      <c r="B644" s="53"/>
      <c r="C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spans="1:48" ht="12.75" x14ac:dyDescent="0.2">
      <c r="A645" s="53"/>
      <c r="B645" s="53"/>
      <c r="C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spans="1:48" ht="12.75" x14ac:dyDescent="0.2">
      <c r="A646" s="53"/>
      <c r="B646" s="53"/>
      <c r="C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spans="1:48" ht="12.75" x14ac:dyDescent="0.2">
      <c r="A647" s="53"/>
      <c r="B647" s="53"/>
      <c r="C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spans="1:48" ht="12.75" x14ac:dyDescent="0.2">
      <c r="A648" s="53"/>
      <c r="B648" s="53"/>
      <c r="C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spans="1:48" ht="12.75" x14ac:dyDescent="0.2">
      <c r="A649" s="53"/>
      <c r="B649" s="53"/>
      <c r="C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spans="1:48" ht="12.75" x14ac:dyDescent="0.2">
      <c r="A650" s="53"/>
      <c r="B650" s="53"/>
      <c r="C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spans="1:48" ht="12.75" x14ac:dyDescent="0.2">
      <c r="A651" s="53"/>
      <c r="B651" s="53"/>
      <c r="C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spans="1:48" ht="12.75" x14ac:dyDescent="0.2">
      <c r="A652" s="53"/>
      <c r="B652" s="53"/>
      <c r="C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spans="1:48" ht="12.75" x14ac:dyDescent="0.2">
      <c r="A653" s="53"/>
      <c r="B653" s="53"/>
      <c r="C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spans="1:48" ht="12.75" x14ac:dyDescent="0.2">
      <c r="A654" s="53"/>
      <c r="B654" s="53"/>
      <c r="C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spans="1:48" ht="12.75" x14ac:dyDescent="0.2">
      <c r="A655" s="53"/>
      <c r="B655" s="53"/>
      <c r="C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spans="1:48" ht="12.75" x14ac:dyDescent="0.2">
      <c r="A656" s="53"/>
      <c r="B656" s="53"/>
      <c r="C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spans="1:48" ht="12.75" x14ac:dyDescent="0.2">
      <c r="A657" s="53"/>
      <c r="B657" s="53"/>
      <c r="C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spans="1:48" ht="12.75" x14ac:dyDescent="0.2">
      <c r="A658" s="53"/>
      <c r="B658" s="53"/>
      <c r="C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spans="1:48" ht="12.75" x14ac:dyDescent="0.2">
      <c r="A659" s="53"/>
      <c r="B659" s="53"/>
      <c r="C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spans="1:48" ht="12.75" x14ac:dyDescent="0.2">
      <c r="A660" s="53"/>
      <c r="B660" s="53"/>
      <c r="C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spans="1:48" ht="12.75" x14ac:dyDescent="0.2">
      <c r="A661" s="53"/>
      <c r="B661" s="53"/>
      <c r="C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spans="1:48" ht="12.75" x14ac:dyDescent="0.2">
      <c r="A662" s="53"/>
      <c r="B662" s="53"/>
      <c r="C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spans="1:48" ht="12.75" x14ac:dyDescent="0.2">
      <c r="A663" s="53"/>
      <c r="B663" s="53"/>
      <c r="C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spans="1:48" ht="12.75" x14ac:dyDescent="0.2">
      <c r="A664" s="53"/>
      <c r="B664" s="53"/>
      <c r="C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spans="1:48" ht="12.75" x14ac:dyDescent="0.2">
      <c r="A665" s="53"/>
      <c r="B665" s="53"/>
      <c r="C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spans="1:48" ht="12.75" x14ac:dyDescent="0.2">
      <c r="A666" s="53"/>
      <c r="B666" s="53"/>
      <c r="C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spans="1:48" ht="12.75" x14ac:dyDescent="0.2">
      <c r="A667" s="53"/>
      <c r="B667" s="53"/>
      <c r="C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spans="1:48" ht="12.75" x14ac:dyDescent="0.2">
      <c r="A668" s="53"/>
      <c r="B668" s="53"/>
      <c r="C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spans="1:48" ht="12.75" x14ac:dyDescent="0.2">
      <c r="A669" s="53"/>
      <c r="B669" s="53"/>
      <c r="C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spans="1:48" ht="12.75" x14ac:dyDescent="0.2">
      <c r="A670" s="53"/>
      <c r="B670" s="53"/>
      <c r="C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spans="1:48" ht="12.75" x14ac:dyDescent="0.2">
      <c r="A671" s="53"/>
      <c r="B671" s="53"/>
      <c r="C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spans="1:48" ht="12.75" x14ac:dyDescent="0.2">
      <c r="A672" s="53"/>
      <c r="B672" s="53"/>
      <c r="C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spans="1:48" ht="12.75" x14ac:dyDescent="0.2">
      <c r="A673" s="53"/>
      <c r="B673" s="53"/>
      <c r="C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spans="1:48" ht="12.75" x14ac:dyDescent="0.2">
      <c r="A674" s="53"/>
      <c r="B674" s="53"/>
      <c r="C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spans="1:48" ht="12.75" x14ac:dyDescent="0.2">
      <c r="A675" s="53"/>
      <c r="B675" s="53"/>
      <c r="C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spans="1:48" ht="12.75" x14ac:dyDescent="0.2">
      <c r="A676" s="53"/>
      <c r="B676" s="53"/>
      <c r="C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spans="1:48" ht="12.75" x14ac:dyDescent="0.2">
      <c r="A677" s="53"/>
      <c r="B677" s="53"/>
      <c r="C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spans="1:48" ht="12.75" x14ac:dyDescent="0.2">
      <c r="A678" s="53"/>
      <c r="B678" s="53"/>
      <c r="C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spans="1:48" ht="12.75" x14ac:dyDescent="0.2">
      <c r="A679" s="53"/>
      <c r="B679" s="53"/>
      <c r="C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spans="1:48" ht="12.75" x14ac:dyDescent="0.2">
      <c r="A680" s="53"/>
      <c r="B680" s="53"/>
      <c r="C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spans="1:48" ht="12.75" x14ac:dyDescent="0.2">
      <c r="A681" s="53"/>
      <c r="B681" s="53"/>
      <c r="C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spans="1:48" ht="12.75" x14ac:dyDescent="0.2">
      <c r="A682" s="53"/>
      <c r="B682" s="53"/>
      <c r="C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spans="1:48" ht="12.75" x14ac:dyDescent="0.2">
      <c r="A683" s="53"/>
      <c r="B683" s="53"/>
      <c r="C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spans="1:48" ht="12.75" x14ac:dyDescent="0.2">
      <c r="A684" s="53"/>
      <c r="B684" s="53"/>
      <c r="C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spans="1:48" ht="12.75" x14ac:dyDescent="0.2">
      <c r="A685" s="53"/>
      <c r="B685" s="53"/>
      <c r="C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spans="1:48" ht="12.75" x14ac:dyDescent="0.2">
      <c r="A686" s="53"/>
      <c r="B686" s="53"/>
      <c r="C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spans="1:48" ht="12.75" x14ac:dyDescent="0.2">
      <c r="A687" s="53"/>
      <c r="B687" s="53"/>
      <c r="C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spans="1:48" ht="12.75" x14ac:dyDescent="0.2">
      <c r="A688" s="53"/>
      <c r="B688" s="53"/>
      <c r="C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spans="1:48" ht="12.75" x14ac:dyDescent="0.2">
      <c r="A689" s="53"/>
      <c r="B689" s="53"/>
      <c r="C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spans="1:48" ht="12.75" x14ac:dyDescent="0.2">
      <c r="A690" s="53"/>
      <c r="B690" s="53"/>
      <c r="C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spans="1:48" ht="12.75" x14ac:dyDescent="0.2">
      <c r="A691" s="53"/>
      <c r="B691" s="53"/>
      <c r="C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spans="1:48" ht="12.75" x14ac:dyDescent="0.2">
      <c r="A692" s="53"/>
      <c r="B692" s="53"/>
      <c r="C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spans="1:48" ht="12.75" x14ac:dyDescent="0.2">
      <c r="A693" s="53"/>
      <c r="B693" s="53"/>
      <c r="C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spans="1:48" ht="12.75" x14ac:dyDescent="0.2">
      <c r="A694" s="53"/>
      <c r="B694" s="53"/>
      <c r="C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spans="1:48" ht="12.75" x14ac:dyDescent="0.2">
      <c r="A695" s="53"/>
      <c r="B695" s="53"/>
      <c r="C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spans="1:48" ht="12.75" x14ac:dyDescent="0.2">
      <c r="A696" s="53"/>
      <c r="B696" s="53"/>
      <c r="C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spans="1:48" ht="12.75" x14ac:dyDescent="0.2">
      <c r="A697" s="53"/>
      <c r="B697" s="53"/>
      <c r="C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spans="1:48" ht="12.75" x14ac:dyDescent="0.2">
      <c r="A698" s="53"/>
      <c r="B698" s="53"/>
      <c r="C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spans="1:48" ht="12.75" x14ac:dyDescent="0.2">
      <c r="A699" s="53"/>
      <c r="B699" s="53"/>
      <c r="C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spans="1:48" ht="12.75" x14ac:dyDescent="0.2">
      <c r="A700" s="53"/>
      <c r="B700" s="53"/>
      <c r="C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spans="1:48" ht="12.75" x14ac:dyDescent="0.2">
      <c r="A701" s="53"/>
      <c r="B701" s="53"/>
      <c r="C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spans="1:48" ht="12.75" x14ac:dyDescent="0.2">
      <c r="A702" s="53"/>
      <c r="B702" s="53"/>
      <c r="C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spans="1:48" ht="12.75" x14ac:dyDescent="0.2">
      <c r="A703" s="53"/>
      <c r="B703" s="53"/>
      <c r="C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spans="1:48" ht="12.75" x14ac:dyDescent="0.2">
      <c r="A704" s="53"/>
      <c r="B704" s="53"/>
      <c r="C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spans="1:48" ht="12.75" x14ac:dyDescent="0.2">
      <c r="A705" s="53"/>
      <c r="B705" s="53"/>
      <c r="C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spans="1:48" ht="12.75" x14ac:dyDescent="0.2">
      <c r="A706" s="53"/>
      <c r="B706" s="53"/>
      <c r="C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spans="1:48" ht="12.75" x14ac:dyDescent="0.2">
      <c r="A707" s="53"/>
      <c r="B707" s="53"/>
      <c r="C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spans="1:48" ht="12.75" x14ac:dyDescent="0.2">
      <c r="A708" s="53"/>
      <c r="B708" s="53"/>
      <c r="C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spans="1:48" ht="12.75" x14ac:dyDescent="0.2">
      <c r="A709" s="53"/>
      <c r="B709" s="53"/>
      <c r="C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spans="1:48" ht="12.75" x14ac:dyDescent="0.2">
      <c r="A710" s="53"/>
      <c r="B710" s="53"/>
      <c r="C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spans="1:48" ht="12.75" x14ac:dyDescent="0.2">
      <c r="A711" s="53"/>
      <c r="B711" s="53"/>
      <c r="C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spans="1:48" ht="12.75" x14ac:dyDescent="0.2">
      <c r="A712" s="53"/>
      <c r="B712" s="53"/>
      <c r="C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spans="1:48" ht="12.75" x14ac:dyDescent="0.2">
      <c r="A713" s="53"/>
      <c r="B713" s="53"/>
      <c r="C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spans="1:48" ht="12.75" x14ac:dyDescent="0.2">
      <c r="A714" s="53"/>
      <c r="B714" s="53"/>
      <c r="C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spans="1:48" ht="12.75" x14ac:dyDescent="0.2">
      <c r="A715" s="53"/>
      <c r="B715" s="53"/>
      <c r="C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spans="1:48" ht="12.75" x14ac:dyDescent="0.2">
      <c r="A716" s="53"/>
      <c r="B716" s="53"/>
      <c r="C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spans="1:48" ht="12.75" x14ac:dyDescent="0.2">
      <c r="A717" s="53"/>
      <c r="B717" s="53"/>
      <c r="C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spans="1:48" ht="12.75" x14ac:dyDescent="0.2">
      <c r="A718" s="53"/>
      <c r="B718" s="53"/>
      <c r="C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spans="1:48" ht="12.75" x14ac:dyDescent="0.2">
      <c r="A719" s="53"/>
      <c r="B719" s="53"/>
      <c r="C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spans="1:48" ht="12.75" x14ac:dyDescent="0.2">
      <c r="A720" s="53"/>
      <c r="B720" s="53"/>
      <c r="C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spans="1:48" ht="12.75" x14ac:dyDescent="0.2">
      <c r="A721" s="53"/>
      <c r="B721" s="53"/>
      <c r="C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spans="1:48" ht="12.75" x14ac:dyDescent="0.2">
      <c r="A722" s="53"/>
      <c r="B722" s="53"/>
      <c r="C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spans="1:48" ht="12.75" x14ac:dyDescent="0.2">
      <c r="A723" s="53"/>
      <c r="B723" s="53"/>
      <c r="C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spans="1:48" ht="12.75" x14ac:dyDescent="0.2">
      <c r="A724" s="53"/>
      <c r="B724" s="53"/>
      <c r="C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spans="1:48" ht="12.75" x14ac:dyDescent="0.2">
      <c r="A725" s="53"/>
      <c r="B725" s="53"/>
      <c r="C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spans="1:48" ht="12.75" x14ac:dyDescent="0.2">
      <c r="A726" s="53"/>
      <c r="B726" s="53"/>
      <c r="C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spans="1:48" ht="12.75" x14ac:dyDescent="0.2">
      <c r="A727" s="53"/>
      <c r="B727" s="53"/>
      <c r="C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spans="1:48" ht="12.75" x14ac:dyDescent="0.2">
      <c r="A728" s="53"/>
      <c r="B728" s="53"/>
      <c r="C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spans="1:48" ht="12.75" x14ac:dyDescent="0.2">
      <c r="A729" s="53"/>
      <c r="B729" s="53"/>
      <c r="C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spans="1:48" ht="12.75" x14ac:dyDescent="0.2">
      <c r="A730" s="53"/>
      <c r="B730" s="53"/>
      <c r="C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spans="1:48" ht="12.75" x14ac:dyDescent="0.2">
      <c r="A731" s="53"/>
      <c r="B731" s="53"/>
      <c r="C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spans="1:48" ht="12.75" x14ac:dyDescent="0.2">
      <c r="A732" s="53"/>
      <c r="B732" s="53"/>
      <c r="C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spans="1:48" ht="12.75" x14ac:dyDescent="0.2">
      <c r="A733" s="53"/>
      <c r="B733" s="53"/>
      <c r="C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spans="1:48" ht="12.75" x14ac:dyDescent="0.2">
      <c r="A734" s="53"/>
      <c r="B734" s="53"/>
      <c r="C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spans="1:48" ht="12.75" x14ac:dyDescent="0.2">
      <c r="A735" s="53"/>
      <c r="B735" s="53"/>
      <c r="C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spans="1:48" ht="12.75" x14ac:dyDescent="0.2">
      <c r="A736" s="53"/>
      <c r="B736" s="53"/>
      <c r="C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spans="1:48" ht="12.75" x14ac:dyDescent="0.2">
      <c r="A737" s="53"/>
      <c r="B737" s="53"/>
      <c r="C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spans="1:48" ht="12.75" x14ac:dyDescent="0.2">
      <c r="A738" s="53"/>
      <c r="B738" s="53"/>
      <c r="C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spans="1:48" ht="12.75" x14ac:dyDescent="0.2">
      <c r="A739" s="53"/>
      <c r="B739" s="53"/>
      <c r="C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spans="1:48" ht="12.75" x14ac:dyDescent="0.2">
      <c r="A740" s="53"/>
      <c r="B740" s="53"/>
      <c r="C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spans="1:48" ht="12.75" x14ac:dyDescent="0.2">
      <c r="A741" s="53"/>
      <c r="B741" s="53"/>
      <c r="C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spans="1:48" ht="12.75" x14ac:dyDescent="0.2">
      <c r="A742" s="53"/>
      <c r="B742" s="53"/>
      <c r="C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spans="1:48" ht="12.75" x14ac:dyDescent="0.2">
      <c r="A743" s="53"/>
      <c r="B743" s="53"/>
      <c r="C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spans="1:48" ht="12.75" x14ac:dyDescent="0.2">
      <c r="A744" s="53"/>
      <c r="B744" s="53"/>
      <c r="C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spans="1:48" ht="12.75" x14ac:dyDescent="0.2">
      <c r="A745" s="53"/>
      <c r="B745" s="53"/>
      <c r="C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spans="1:48" ht="12.75" x14ac:dyDescent="0.2">
      <c r="A746" s="53"/>
      <c r="B746" s="53"/>
      <c r="C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spans="1:48" ht="12.75" x14ac:dyDescent="0.2">
      <c r="A747" s="53"/>
      <c r="B747" s="53"/>
      <c r="C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spans="1:48" ht="12.75" x14ac:dyDescent="0.2">
      <c r="A748" s="53"/>
      <c r="B748" s="53"/>
      <c r="C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spans="1:48" ht="12.75" x14ac:dyDescent="0.2">
      <c r="A749" s="53"/>
      <c r="B749" s="53"/>
      <c r="C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spans="1:48" ht="12.75" x14ac:dyDescent="0.2">
      <c r="A750" s="53"/>
      <c r="B750" s="53"/>
      <c r="C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spans="1:48" ht="12.75" x14ac:dyDescent="0.2">
      <c r="A751" s="53"/>
      <c r="B751" s="53"/>
      <c r="C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spans="1:48" ht="12.75" x14ac:dyDescent="0.2">
      <c r="A752" s="53"/>
      <c r="B752" s="53"/>
      <c r="C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spans="1:48" ht="12.75" x14ac:dyDescent="0.2">
      <c r="A753" s="53"/>
      <c r="B753" s="53"/>
      <c r="C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spans="1:48" ht="12.75" x14ac:dyDescent="0.2">
      <c r="A754" s="53"/>
      <c r="B754" s="53"/>
      <c r="C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spans="1:48" ht="12.75" x14ac:dyDescent="0.2">
      <c r="A755" s="53"/>
      <c r="B755" s="53"/>
      <c r="C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spans="1:48" ht="12.75" x14ac:dyDescent="0.2">
      <c r="A756" s="53"/>
      <c r="B756" s="53"/>
      <c r="C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spans="1:48" ht="12.75" x14ac:dyDescent="0.2">
      <c r="A757" s="53"/>
      <c r="B757" s="53"/>
      <c r="C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spans="1:48" ht="12.75" x14ac:dyDescent="0.2">
      <c r="A758" s="53"/>
      <c r="B758" s="53"/>
      <c r="C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spans="1:48" ht="12.75" x14ac:dyDescent="0.2">
      <c r="A759" s="53"/>
      <c r="B759" s="53"/>
      <c r="C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spans="1:48" ht="12.75" x14ac:dyDescent="0.2">
      <c r="A760" s="53"/>
      <c r="B760" s="53"/>
      <c r="C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spans="1:48" ht="12.75" x14ac:dyDescent="0.2">
      <c r="A761" s="53"/>
      <c r="B761" s="53"/>
      <c r="C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spans="1:48" ht="12.75" x14ac:dyDescent="0.2">
      <c r="A762" s="53"/>
      <c r="B762" s="53"/>
      <c r="C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spans="1:48" ht="12.75" x14ac:dyDescent="0.2">
      <c r="A763" s="53"/>
      <c r="B763" s="53"/>
      <c r="C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spans="1:48" ht="12.75" x14ac:dyDescent="0.2">
      <c r="A764" s="53"/>
      <c r="B764" s="53"/>
      <c r="C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spans="1:48" ht="12.75" x14ac:dyDescent="0.2">
      <c r="A765" s="53"/>
      <c r="B765" s="53"/>
      <c r="C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spans="1:48" ht="12.75" x14ac:dyDescent="0.2">
      <c r="A766" s="53"/>
      <c r="B766" s="53"/>
      <c r="C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spans="1:48" ht="12.75" x14ac:dyDescent="0.2">
      <c r="A767" s="53"/>
      <c r="B767" s="53"/>
      <c r="C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spans="1:48" ht="12.75" x14ac:dyDescent="0.2">
      <c r="A768" s="53"/>
      <c r="B768" s="53"/>
      <c r="C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spans="1:48" ht="12.75" x14ac:dyDescent="0.2">
      <c r="A769" s="53"/>
      <c r="B769" s="53"/>
      <c r="C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spans="1:48" ht="12.75" x14ac:dyDescent="0.2">
      <c r="A770" s="53"/>
      <c r="B770" s="53"/>
      <c r="C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spans="1:48" ht="12.75" x14ac:dyDescent="0.2">
      <c r="A771" s="53"/>
      <c r="B771" s="53"/>
      <c r="C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spans="1:48" ht="12.75" x14ac:dyDescent="0.2">
      <c r="A772" s="53"/>
      <c r="B772" s="53"/>
      <c r="C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spans="1:48" ht="12.75" x14ac:dyDescent="0.2">
      <c r="A773" s="53"/>
      <c r="B773" s="53"/>
      <c r="C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spans="1:48" ht="12.75" x14ac:dyDescent="0.2">
      <c r="A774" s="53"/>
      <c r="B774" s="53"/>
      <c r="C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spans="1:48" ht="12.75" x14ac:dyDescent="0.2">
      <c r="A775" s="53"/>
      <c r="B775" s="53"/>
      <c r="C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spans="1:48" ht="12.75" x14ac:dyDescent="0.2">
      <c r="A776" s="53"/>
      <c r="B776" s="53"/>
      <c r="C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spans="1:48" ht="12.75" x14ac:dyDescent="0.2">
      <c r="A777" s="53"/>
      <c r="B777" s="53"/>
      <c r="C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spans="1:48" ht="12.75" x14ac:dyDescent="0.2">
      <c r="A778" s="53"/>
      <c r="B778" s="53"/>
      <c r="C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spans="1:48" ht="12.75" x14ac:dyDescent="0.2">
      <c r="A779" s="53"/>
      <c r="B779" s="53"/>
      <c r="C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spans="1:48" ht="12.75" x14ac:dyDescent="0.2">
      <c r="A780" s="53"/>
      <c r="B780" s="53"/>
      <c r="C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spans="1:48" ht="12.75" x14ac:dyDescent="0.2">
      <c r="A781" s="53"/>
      <c r="B781" s="53"/>
      <c r="C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spans="1:48" ht="12.75" x14ac:dyDescent="0.2">
      <c r="A782" s="53"/>
      <c r="B782" s="53"/>
      <c r="C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spans="1:48" ht="12.75" x14ac:dyDescent="0.2">
      <c r="A783" s="53"/>
      <c r="B783" s="53"/>
      <c r="C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spans="1:48" ht="12.75" x14ac:dyDescent="0.2">
      <c r="A784" s="53"/>
      <c r="B784" s="53"/>
      <c r="C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spans="1:48" ht="12.75" x14ac:dyDescent="0.2">
      <c r="A785" s="53"/>
      <c r="B785" s="53"/>
      <c r="C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spans="1:48" ht="12.75" x14ac:dyDescent="0.2">
      <c r="A786" s="53"/>
      <c r="B786" s="53"/>
      <c r="C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spans="1:48" ht="12.75" x14ac:dyDescent="0.2">
      <c r="A787" s="53"/>
      <c r="B787" s="53"/>
      <c r="C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spans="1:48" ht="12.75" x14ac:dyDescent="0.2">
      <c r="A788" s="53"/>
      <c r="B788" s="53"/>
      <c r="C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spans="1:48" ht="12.75" x14ac:dyDescent="0.2">
      <c r="A789" s="53"/>
      <c r="B789" s="53"/>
      <c r="C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spans="1:48" ht="12.75" x14ac:dyDescent="0.2">
      <c r="A790" s="53"/>
      <c r="B790" s="53"/>
      <c r="C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spans="1:48" ht="12.75" x14ac:dyDescent="0.2">
      <c r="A791" s="53"/>
      <c r="B791" s="53"/>
      <c r="C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spans="1:48" ht="12.75" x14ac:dyDescent="0.2">
      <c r="A792" s="53"/>
      <c r="B792" s="53"/>
      <c r="C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spans="1:48" ht="12.75" x14ac:dyDescent="0.2">
      <c r="A793" s="53"/>
      <c r="B793" s="53"/>
      <c r="C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spans="1:48" ht="12.75" x14ac:dyDescent="0.2">
      <c r="A794" s="53"/>
      <c r="B794" s="53"/>
      <c r="C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spans="1:48" ht="12.75" x14ac:dyDescent="0.2">
      <c r="A795" s="53"/>
      <c r="B795" s="53"/>
      <c r="C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spans="1:48" ht="12.75" x14ac:dyDescent="0.2">
      <c r="A796" s="53"/>
      <c r="B796" s="53"/>
      <c r="C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spans="1:48" ht="12.75" x14ac:dyDescent="0.2">
      <c r="A797" s="53"/>
      <c r="B797" s="53"/>
      <c r="C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spans="1:48" ht="12.75" x14ac:dyDescent="0.2">
      <c r="A798" s="53"/>
      <c r="B798" s="53"/>
      <c r="C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spans="1:48" ht="12.75" x14ac:dyDescent="0.2">
      <c r="A799" s="53"/>
      <c r="B799" s="53"/>
      <c r="C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spans="1:48" ht="12.75" x14ac:dyDescent="0.2">
      <c r="A800" s="53"/>
      <c r="B800" s="53"/>
      <c r="C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spans="1:48" ht="12.75" x14ac:dyDescent="0.2">
      <c r="A801" s="53"/>
      <c r="B801" s="53"/>
      <c r="C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spans="1:48" ht="12.75" x14ac:dyDescent="0.2">
      <c r="A802" s="53"/>
      <c r="B802" s="53"/>
      <c r="C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spans="1:48" ht="12.75" x14ac:dyDescent="0.2">
      <c r="A803" s="53"/>
      <c r="B803" s="53"/>
      <c r="C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spans="1:48" ht="12.75" x14ac:dyDescent="0.2">
      <c r="A804" s="53"/>
      <c r="B804" s="53"/>
      <c r="C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spans="1:48" ht="12.75" x14ac:dyDescent="0.2">
      <c r="A805" s="53"/>
      <c r="B805" s="53"/>
      <c r="C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spans="1:48" ht="12.75" x14ac:dyDescent="0.2">
      <c r="A806" s="53"/>
      <c r="B806" s="53"/>
      <c r="C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spans="1:48" ht="12.75" x14ac:dyDescent="0.2">
      <c r="A807" s="53"/>
      <c r="B807" s="53"/>
      <c r="C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spans="1:48" ht="12.75" x14ac:dyDescent="0.2">
      <c r="A808" s="53"/>
      <c r="B808" s="53"/>
      <c r="C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spans="1:48" ht="12.75" x14ac:dyDescent="0.2">
      <c r="A809" s="53"/>
      <c r="B809" s="53"/>
      <c r="C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spans="1:48" ht="12.75" x14ac:dyDescent="0.2">
      <c r="A810" s="53"/>
      <c r="B810" s="53"/>
      <c r="C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spans="1:48" ht="12.75" x14ac:dyDescent="0.2">
      <c r="A811" s="53"/>
      <c r="B811" s="53"/>
      <c r="C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spans="1:48" ht="12.75" x14ac:dyDescent="0.2">
      <c r="A812" s="53"/>
      <c r="B812" s="53"/>
      <c r="C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spans="1:48" ht="12.75" x14ac:dyDescent="0.2">
      <c r="A813" s="53"/>
      <c r="B813" s="53"/>
      <c r="C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spans="1:48" ht="12.75" x14ac:dyDescent="0.2">
      <c r="A814" s="53"/>
      <c r="B814" s="53"/>
      <c r="C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spans="1:48" ht="12.75" x14ac:dyDescent="0.2">
      <c r="A815" s="53"/>
      <c r="B815" s="53"/>
      <c r="C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spans="1:48" ht="12.75" x14ac:dyDescent="0.2">
      <c r="A816" s="53"/>
      <c r="B816" s="53"/>
      <c r="C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spans="1:48" ht="12.75" x14ac:dyDescent="0.2">
      <c r="A817" s="53"/>
      <c r="B817" s="53"/>
      <c r="C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spans="1:48" ht="12.75" x14ac:dyDescent="0.2">
      <c r="A818" s="53"/>
      <c r="B818" s="53"/>
      <c r="C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spans="1:48" ht="12.75" x14ac:dyDescent="0.2">
      <c r="A819" s="53"/>
      <c r="B819" s="53"/>
      <c r="C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spans="1:48" ht="12.75" x14ac:dyDescent="0.2">
      <c r="A820" s="53"/>
      <c r="B820" s="53"/>
      <c r="C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spans="1:48" ht="12.75" x14ac:dyDescent="0.2">
      <c r="A821" s="53"/>
      <c r="B821" s="53"/>
      <c r="C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spans="1:48" ht="12.75" x14ac:dyDescent="0.2">
      <c r="A822" s="53"/>
      <c r="B822" s="53"/>
      <c r="C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spans="1:48" ht="12.75" x14ac:dyDescent="0.2">
      <c r="A823" s="53"/>
      <c r="B823" s="53"/>
      <c r="C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spans="1:48" ht="12.75" x14ac:dyDescent="0.2">
      <c r="A824" s="53"/>
      <c r="B824" s="53"/>
      <c r="C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spans="1:48" ht="12.75" x14ac:dyDescent="0.2">
      <c r="A825" s="53"/>
      <c r="B825" s="53"/>
      <c r="C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spans="1:48" ht="12.75" x14ac:dyDescent="0.2">
      <c r="A826" s="53"/>
      <c r="B826" s="53"/>
      <c r="C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spans="1:48" ht="12.75" x14ac:dyDescent="0.2">
      <c r="A827" s="53"/>
      <c r="B827" s="53"/>
      <c r="C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spans="1:48" ht="12.75" x14ac:dyDescent="0.2">
      <c r="A828" s="53"/>
      <c r="B828" s="53"/>
      <c r="C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spans="1:48" ht="12.75" x14ac:dyDescent="0.2">
      <c r="A829" s="53"/>
      <c r="B829" s="53"/>
      <c r="C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spans="1:48" ht="12.75" x14ac:dyDescent="0.2">
      <c r="A830" s="53"/>
      <c r="B830" s="53"/>
      <c r="C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spans="1:48" ht="12.75" x14ac:dyDescent="0.2">
      <c r="A831" s="53"/>
      <c r="B831" s="53"/>
      <c r="C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spans="1:48" ht="12.75" x14ac:dyDescent="0.2">
      <c r="A832" s="53"/>
      <c r="B832" s="53"/>
      <c r="C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spans="1:48" ht="12.75" x14ac:dyDescent="0.2">
      <c r="A833" s="53"/>
      <c r="B833" s="53"/>
      <c r="C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spans="1:48" ht="12.75" x14ac:dyDescent="0.2">
      <c r="A834" s="53"/>
      <c r="B834" s="53"/>
      <c r="C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spans="1:48" ht="12.75" x14ac:dyDescent="0.2">
      <c r="A835" s="53"/>
      <c r="B835" s="53"/>
      <c r="C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spans="1:48" ht="12.75" x14ac:dyDescent="0.2">
      <c r="A836" s="53"/>
      <c r="B836" s="53"/>
      <c r="C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spans="1:48" ht="12.75" x14ac:dyDescent="0.2">
      <c r="A837" s="53"/>
      <c r="B837" s="53"/>
      <c r="C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spans="1:48" ht="12.75" x14ac:dyDescent="0.2">
      <c r="A838" s="53"/>
      <c r="B838" s="53"/>
      <c r="C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spans="1:48" ht="12.75" x14ac:dyDescent="0.2">
      <c r="A839" s="53"/>
      <c r="B839" s="53"/>
      <c r="C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spans="1:48" ht="12.75" x14ac:dyDescent="0.2">
      <c r="A840" s="53"/>
      <c r="B840" s="53"/>
      <c r="C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spans="1:48" ht="12.75" x14ac:dyDescent="0.2">
      <c r="A841" s="53"/>
      <c r="B841" s="53"/>
      <c r="C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spans="1:48" ht="12.75" x14ac:dyDescent="0.2">
      <c r="A842" s="53"/>
      <c r="B842" s="53"/>
      <c r="C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spans="1:48" ht="12.75" x14ac:dyDescent="0.2">
      <c r="A843" s="53"/>
      <c r="B843" s="53"/>
      <c r="C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spans="1:48" ht="12.75" x14ac:dyDescent="0.2">
      <c r="A844" s="53"/>
      <c r="B844" s="53"/>
      <c r="C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spans="1:48" ht="12.75" x14ac:dyDescent="0.2">
      <c r="A845" s="53"/>
      <c r="B845" s="53"/>
      <c r="C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spans="1:48" ht="12.75" x14ac:dyDescent="0.2">
      <c r="A846" s="53"/>
      <c r="B846" s="53"/>
      <c r="C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spans="1:48" ht="12.75" x14ac:dyDescent="0.2">
      <c r="A847" s="53"/>
      <c r="B847" s="53"/>
      <c r="C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spans="1:48" ht="12.75" x14ac:dyDescent="0.2">
      <c r="A848" s="53"/>
      <c r="B848" s="53"/>
      <c r="C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spans="1:48" ht="12.75" x14ac:dyDescent="0.2">
      <c r="A849" s="53"/>
      <c r="B849" s="53"/>
      <c r="C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spans="1:48" ht="12.75" x14ac:dyDescent="0.2">
      <c r="A850" s="53"/>
      <c r="B850" s="53"/>
      <c r="C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spans="1:48" ht="12.75" x14ac:dyDescent="0.2">
      <c r="A851" s="53"/>
      <c r="B851" s="53"/>
      <c r="C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spans="1:48" ht="12.75" x14ac:dyDescent="0.2">
      <c r="A852" s="53"/>
      <c r="B852" s="53"/>
      <c r="C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spans="1:48" ht="12.75" x14ac:dyDescent="0.2">
      <c r="A853" s="53"/>
      <c r="B853" s="53"/>
      <c r="C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spans="1:48" ht="12.75" x14ac:dyDescent="0.2">
      <c r="A854" s="53"/>
      <c r="B854" s="53"/>
      <c r="C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spans="1:48" ht="12.75" x14ac:dyDescent="0.2">
      <c r="A855" s="53"/>
      <c r="B855" s="53"/>
      <c r="C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spans="1:48" ht="12.75" x14ac:dyDescent="0.2">
      <c r="A856" s="53"/>
      <c r="B856" s="53"/>
      <c r="C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spans="1:48" ht="12.75" x14ac:dyDescent="0.2">
      <c r="A857" s="53"/>
      <c r="B857" s="53"/>
      <c r="C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spans="1:48" ht="12.75" x14ac:dyDescent="0.2">
      <c r="A858" s="53"/>
      <c r="B858" s="53"/>
      <c r="C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spans="1:48" ht="12.75" x14ac:dyDescent="0.2">
      <c r="A859" s="53"/>
      <c r="B859" s="53"/>
      <c r="C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spans="1:48" ht="12.75" x14ac:dyDescent="0.2">
      <c r="A860" s="53"/>
      <c r="B860" s="53"/>
      <c r="C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spans="1:48" ht="12.75" x14ac:dyDescent="0.2">
      <c r="A861" s="53"/>
      <c r="B861" s="53"/>
      <c r="C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spans="1:48" ht="12.75" x14ac:dyDescent="0.2">
      <c r="A862" s="53"/>
      <c r="B862" s="53"/>
      <c r="C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spans="1:48" ht="12.75" x14ac:dyDescent="0.2">
      <c r="A863" s="53"/>
      <c r="B863" s="53"/>
      <c r="C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spans="1:48" ht="12.75" x14ac:dyDescent="0.2">
      <c r="A864" s="53"/>
      <c r="B864" s="53"/>
      <c r="C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spans="1:48" ht="12.75" x14ac:dyDescent="0.2">
      <c r="A865" s="53"/>
      <c r="B865" s="53"/>
      <c r="C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spans="1:48" ht="12.75" x14ac:dyDescent="0.2">
      <c r="A866" s="53"/>
      <c r="B866" s="53"/>
      <c r="C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spans="1:48" ht="12.75" x14ac:dyDescent="0.2">
      <c r="A867" s="2"/>
      <c r="B867" s="2"/>
      <c r="C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spans="1:48" ht="12.75" x14ac:dyDescent="0.2">
      <c r="A868" s="2"/>
      <c r="B868" s="2"/>
      <c r="C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spans="1:48" ht="12.75" x14ac:dyDescent="0.2">
      <c r="A869" s="2"/>
      <c r="B869" s="2"/>
      <c r="C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spans="1:48" ht="12.75" x14ac:dyDescent="0.2">
      <c r="A870" s="2"/>
      <c r="B870" s="2"/>
      <c r="C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spans="1:48" ht="12.75" x14ac:dyDescent="0.2">
      <c r="A871" s="2"/>
      <c r="B871" s="2"/>
      <c r="C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spans="1:48" ht="12.75" x14ac:dyDescent="0.2">
      <c r="A872" s="2"/>
      <c r="B872" s="2"/>
      <c r="C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spans="1:48" ht="12.75" x14ac:dyDescent="0.2">
      <c r="A873" s="2"/>
      <c r="B873" s="2"/>
      <c r="C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spans="1:48" ht="12.75" x14ac:dyDescent="0.2">
      <c r="A874" s="2"/>
      <c r="B874" s="2"/>
      <c r="C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spans="1:48" ht="12.75" x14ac:dyDescent="0.2">
      <c r="A875" s="2"/>
      <c r="B875" s="2"/>
      <c r="C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spans="1:48" ht="12.75" x14ac:dyDescent="0.2">
      <c r="A876" s="2"/>
      <c r="B876" s="2"/>
      <c r="C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spans="1:48" ht="12.75" x14ac:dyDescent="0.2">
      <c r="A877" s="2"/>
      <c r="B877" s="2"/>
      <c r="C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spans="1:48" ht="12.75" x14ac:dyDescent="0.2">
      <c r="A878" s="2"/>
      <c r="B878" s="2"/>
      <c r="C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spans="1:48" ht="12.75" x14ac:dyDescent="0.2">
      <c r="A879" s="2"/>
      <c r="B879" s="2"/>
      <c r="C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spans="1:48" ht="12.75" x14ac:dyDescent="0.2">
      <c r="A880" s="2"/>
      <c r="B880" s="2"/>
      <c r="C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spans="1:48" ht="12.75" x14ac:dyDescent="0.2">
      <c r="A881" s="2"/>
      <c r="B881" s="2"/>
      <c r="C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spans="1:48" ht="12.75" x14ac:dyDescent="0.2">
      <c r="A882" s="2"/>
      <c r="B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spans="1:48" ht="12.75" x14ac:dyDescent="0.2">
      <c r="A883" s="2"/>
      <c r="B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spans="1:48" ht="12.75" x14ac:dyDescent="0.2">
      <c r="A884" s="2"/>
      <c r="B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spans="1:48" ht="12.75" x14ac:dyDescent="0.2">
      <c r="A885" s="2"/>
      <c r="B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spans="1:48" ht="12.75" x14ac:dyDescent="0.2">
      <c r="A886" s="2"/>
      <c r="B886" s="2"/>
      <c r="C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spans="1:48" ht="12.75" x14ac:dyDescent="0.2">
      <c r="A887" s="2"/>
      <c r="B887" s="2"/>
      <c r="C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spans="1:48" ht="12.75" x14ac:dyDescent="0.2">
      <c r="A888" s="2"/>
      <c r="B888" s="2"/>
      <c r="C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spans="1:48" ht="12.75" x14ac:dyDescent="0.2">
      <c r="A889" s="2"/>
      <c r="B889" s="2"/>
      <c r="C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spans="1:48" ht="12.75" x14ac:dyDescent="0.2">
      <c r="A890" s="2"/>
      <c r="B890" s="2"/>
      <c r="C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spans="1:48" ht="12.75" x14ac:dyDescent="0.2">
      <c r="A891" s="2"/>
      <c r="B891" s="2"/>
      <c r="C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spans="1:48" ht="12.75" x14ac:dyDescent="0.2">
      <c r="A892" s="2"/>
      <c r="B892" s="2"/>
      <c r="C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spans="1:48" ht="12.75" x14ac:dyDescent="0.2">
      <c r="A893" s="2"/>
      <c r="B893" s="2"/>
      <c r="C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spans="1:48" ht="12.75" x14ac:dyDescent="0.2">
      <c r="A894" s="2"/>
      <c r="B894" s="2"/>
      <c r="C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spans="1:48" ht="12.75" x14ac:dyDescent="0.2">
      <c r="A895" s="2"/>
      <c r="B895" s="2"/>
      <c r="C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spans="1:48" ht="12.75" x14ac:dyDescent="0.2">
      <c r="A896" s="2"/>
      <c r="B896" s="2"/>
      <c r="C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spans="1:48" ht="12.75" x14ac:dyDescent="0.2">
      <c r="A897" s="2"/>
      <c r="B897" s="2"/>
      <c r="C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spans="1:48" ht="12.75" x14ac:dyDescent="0.2">
      <c r="A898" s="2"/>
      <c r="B898" s="2"/>
      <c r="C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spans="1:48" ht="12.75" x14ac:dyDescent="0.2">
      <c r="A899" s="2"/>
      <c r="B899" s="2"/>
      <c r="C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spans="1:48" ht="12.75" x14ac:dyDescent="0.2">
      <c r="A900" s="2"/>
      <c r="B900" s="2"/>
      <c r="C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spans="1:48" ht="12.75" x14ac:dyDescent="0.2">
      <c r="A901" s="2"/>
      <c r="B901" s="2"/>
      <c r="C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spans="1:48" ht="12.75" x14ac:dyDescent="0.2">
      <c r="A902" s="2"/>
      <c r="B902" s="2"/>
      <c r="C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spans="1:48" ht="12.75" x14ac:dyDescent="0.2">
      <c r="A903" s="2"/>
      <c r="B903" s="2"/>
      <c r="C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spans="1:48" ht="12.75" x14ac:dyDescent="0.2">
      <c r="A904" s="2"/>
      <c r="B904" s="2"/>
      <c r="C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spans="1:48" ht="12.75" x14ac:dyDescent="0.2">
      <c r="A905" s="2"/>
      <c r="B905" s="2"/>
      <c r="C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spans="1:48" ht="12.75" x14ac:dyDescent="0.2">
      <c r="A906" s="2"/>
      <c r="B906" s="2"/>
      <c r="C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spans="1:48" ht="12.75" x14ac:dyDescent="0.2">
      <c r="A907" s="2"/>
      <c r="B907" s="2"/>
      <c r="C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spans="1:48" ht="12.75" x14ac:dyDescent="0.2">
      <c r="A908" s="2"/>
      <c r="B908" s="2"/>
      <c r="C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spans="1:48" ht="12.75" x14ac:dyDescent="0.2">
      <c r="A909" s="2"/>
      <c r="B909" s="2"/>
      <c r="C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spans="1:48" ht="12.75" x14ac:dyDescent="0.2">
      <c r="A910" s="2"/>
      <c r="B910" s="2"/>
      <c r="C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spans="1:48" ht="12.75" x14ac:dyDescent="0.2">
      <c r="A911" s="2"/>
      <c r="B911" s="2"/>
      <c r="C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spans="1:48" ht="12.75" x14ac:dyDescent="0.2">
      <c r="A912" s="2"/>
      <c r="B912" s="2"/>
      <c r="C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spans="1:48" ht="12.75" x14ac:dyDescent="0.2">
      <c r="A913" s="2"/>
      <c r="B913" s="2"/>
      <c r="C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spans="1:48" ht="12.75" x14ac:dyDescent="0.2">
      <c r="A914" s="2"/>
      <c r="B914" s="2"/>
      <c r="C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spans="1:48" ht="12.75" x14ac:dyDescent="0.2">
      <c r="A915" s="2"/>
      <c r="B915" s="2"/>
      <c r="C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spans="1:48" ht="12.75" x14ac:dyDescent="0.2">
      <c r="A916" s="2"/>
      <c r="B916" s="2"/>
      <c r="C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spans="1:48" ht="12.75" x14ac:dyDescent="0.2">
      <c r="A917" s="2"/>
      <c r="B917" s="2"/>
      <c r="C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spans="1:48" ht="12.75" x14ac:dyDescent="0.2">
      <c r="A918" s="2"/>
      <c r="B918" s="2"/>
      <c r="C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spans="1:48" ht="12.75" x14ac:dyDescent="0.2">
      <c r="A919" s="2"/>
      <c r="B919" s="2"/>
      <c r="C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spans="1:48" ht="12.75" x14ac:dyDescent="0.2">
      <c r="A920" s="2"/>
      <c r="B920" s="2"/>
      <c r="C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spans="1:48" ht="12.75" x14ac:dyDescent="0.2">
      <c r="A921" s="2"/>
      <c r="B921" s="2"/>
      <c r="C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spans="1:48" ht="12.75" x14ac:dyDescent="0.2">
      <c r="A922" s="2"/>
      <c r="B922" s="2"/>
      <c r="C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spans="1:48" ht="12.75" x14ac:dyDescent="0.2">
      <c r="A923" s="2"/>
      <c r="B923" s="2"/>
      <c r="C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spans="1:48" ht="12.75" x14ac:dyDescent="0.2">
      <c r="A924" s="2"/>
      <c r="B924" s="2"/>
      <c r="C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spans="1:48" ht="12.75" x14ac:dyDescent="0.2">
      <c r="A925" s="2"/>
      <c r="B925" s="2"/>
      <c r="C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spans="1:48" ht="12.75" x14ac:dyDescent="0.2">
      <c r="A926" s="2"/>
      <c r="B926" s="2"/>
      <c r="C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spans="1:48" ht="12.75" x14ac:dyDescent="0.2">
      <c r="A927" s="2"/>
      <c r="B927" s="2"/>
      <c r="C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spans="1:48" ht="12.75" x14ac:dyDescent="0.2">
      <c r="A928" s="2"/>
      <c r="B928" s="2"/>
      <c r="C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spans="1:48" ht="12.75" x14ac:dyDescent="0.2">
      <c r="A929" s="2"/>
      <c r="B929" s="2"/>
      <c r="C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spans="1:48" ht="12.75" x14ac:dyDescent="0.2">
      <c r="A930" s="2"/>
      <c r="B930" s="2"/>
      <c r="C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spans="1:48" ht="12.75" x14ac:dyDescent="0.2">
      <c r="A931" s="2"/>
      <c r="B931" s="2"/>
      <c r="C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spans="1:48" ht="12.75" x14ac:dyDescent="0.2">
      <c r="A932" s="2"/>
      <c r="B932" s="2"/>
      <c r="C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spans="1:48" ht="12.75" x14ac:dyDescent="0.2">
      <c r="A933" s="2"/>
      <c r="B933" s="2"/>
      <c r="C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spans="1:48" ht="12.75" x14ac:dyDescent="0.2">
      <c r="A934" s="2"/>
      <c r="B934" s="2"/>
      <c r="C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spans="1:48" ht="12.75" x14ac:dyDescent="0.2">
      <c r="A935" s="2"/>
      <c r="B935" s="2"/>
      <c r="C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spans="1:48" ht="12.75" x14ac:dyDescent="0.2">
      <c r="A936" s="2"/>
      <c r="B936" s="2"/>
      <c r="C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spans="1:48" ht="12.75" x14ac:dyDescent="0.2">
      <c r="A937" s="2"/>
      <c r="B937" s="2"/>
      <c r="C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spans="1:48" ht="12.75" x14ac:dyDescent="0.2">
      <c r="A938" s="2"/>
      <c r="B938" s="2"/>
      <c r="C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spans="1:48" ht="12.75" x14ac:dyDescent="0.2">
      <c r="A939" s="2"/>
      <c r="B939" s="2"/>
      <c r="C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spans="1:48" ht="12.75" x14ac:dyDescent="0.2">
      <c r="A940" s="2"/>
      <c r="B940" s="2"/>
      <c r="C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spans="1:48" ht="12.75" x14ac:dyDescent="0.2">
      <c r="A941" s="2"/>
      <c r="B941" s="2"/>
      <c r="C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spans="1:48" ht="12.75" x14ac:dyDescent="0.2">
      <c r="A942" s="2"/>
      <c r="B942" s="2"/>
      <c r="C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spans="1:48" ht="12.75" x14ac:dyDescent="0.2">
      <c r="A943" s="2"/>
      <c r="B943" s="2"/>
      <c r="C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spans="1:48" ht="12.75" x14ac:dyDescent="0.2">
      <c r="A944" s="2"/>
      <c r="B944" s="2"/>
      <c r="C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spans="1:48" ht="12.75" x14ac:dyDescent="0.2">
      <c r="A945" s="2"/>
      <c r="B945" s="2"/>
      <c r="C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spans="1:48" ht="12.75" x14ac:dyDescent="0.2">
      <c r="A946" s="2"/>
      <c r="B946" s="2"/>
      <c r="C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spans="1:48" ht="12.75" x14ac:dyDescent="0.2">
      <c r="A947" s="2"/>
      <c r="B947" s="2"/>
      <c r="C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spans="1:48" ht="12.75" x14ac:dyDescent="0.2">
      <c r="A948" s="2"/>
      <c r="B948" s="2"/>
      <c r="C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spans="1:48" ht="12.75" x14ac:dyDescent="0.2">
      <c r="A949" s="2"/>
      <c r="B949" s="2"/>
      <c r="C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spans="1:48" ht="12.75" x14ac:dyDescent="0.2">
      <c r="A950" s="2"/>
      <c r="B950" s="2"/>
      <c r="C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spans="1:48" ht="12.75" x14ac:dyDescent="0.2">
      <c r="A951" s="2"/>
      <c r="B951" s="2"/>
      <c r="C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spans="1:48" ht="12.75" x14ac:dyDescent="0.2">
      <c r="A952" s="2"/>
      <c r="B952" s="2"/>
      <c r="C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spans="1:48" ht="12.75" x14ac:dyDescent="0.2">
      <c r="A953" s="2"/>
      <c r="B953" s="2"/>
      <c r="C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spans="1:48" ht="12.75" x14ac:dyDescent="0.2">
      <c r="A954" s="2"/>
      <c r="B954" s="2"/>
      <c r="C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spans="1:48" ht="12.75" x14ac:dyDescent="0.2">
      <c r="A955" s="2"/>
      <c r="B955" s="2"/>
      <c r="C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spans="1:48" ht="12.75" x14ac:dyDescent="0.2">
      <c r="A956" s="2"/>
      <c r="B956" s="2"/>
      <c r="C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spans="1:48" ht="12.75" x14ac:dyDescent="0.2">
      <c r="A957" s="2"/>
      <c r="B957" s="2"/>
      <c r="C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spans="1:48" ht="12.75" x14ac:dyDescent="0.2">
      <c r="A958" s="2"/>
      <c r="B958" s="2"/>
      <c r="C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spans="1:48" ht="12.75" x14ac:dyDescent="0.2">
      <c r="A959" s="2"/>
      <c r="B959" s="2"/>
      <c r="C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spans="1:48" ht="12.75" x14ac:dyDescent="0.2">
      <c r="A960" s="2"/>
      <c r="B960" s="2"/>
      <c r="C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spans="1:48" ht="12.75" x14ac:dyDescent="0.2">
      <c r="A961" s="2"/>
      <c r="B961" s="2"/>
      <c r="C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spans="1:48" ht="12.75" x14ac:dyDescent="0.2">
      <c r="A962" s="2"/>
      <c r="B962" s="2"/>
      <c r="C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spans="1:48" ht="12.75" x14ac:dyDescent="0.2">
      <c r="A963" s="2"/>
      <c r="B963" s="2"/>
      <c r="C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spans="1:48" ht="12.75" x14ac:dyDescent="0.2">
      <c r="A964" s="2"/>
      <c r="B964" s="2"/>
      <c r="C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spans="1:48" ht="12.75" x14ac:dyDescent="0.2">
      <c r="A965" s="2"/>
      <c r="B965" s="2"/>
      <c r="C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spans="1:48" ht="12.75" x14ac:dyDescent="0.2">
      <c r="A966" s="2"/>
      <c r="B966" s="2"/>
      <c r="C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spans="1:48" ht="12.75" x14ac:dyDescent="0.2">
      <c r="A967" s="2"/>
      <c r="B967" s="2"/>
      <c r="C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spans="1:48" ht="12.75" x14ac:dyDescent="0.2">
      <c r="A968" s="2"/>
      <c r="B968" s="2"/>
      <c r="C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</row>
    <row r="969" spans="1:48" ht="12.75" x14ac:dyDescent="0.2">
      <c r="A969" s="2"/>
      <c r="B969" s="2"/>
      <c r="C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</row>
    <row r="970" spans="1:48" ht="12.75" x14ac:dyDescent="0.2">
      <c r="A970" s="2"/>
      <c r="B970" s="2"/>
      <c r="C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</row>
    <row r="971" spans="1:48" ht="12.75" x14ac:dyDescent="0.2">
      <c r="A971" s="2"/>
      <c r="B971" s="2"/>
      <c r="C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</row>
    <row r="972" spans="1:48" ht="12.75" x14ac:dyDescent="0.2">
      <c r="A972" s="2"/>
      <c r="B972" s="2"/>
      <c r="C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</row>
    <row r="973" spans="1:48" ht="12.75" x14ac:dyDescent="0.2">
      <c r="A973" s="2"/>
      <c r="B973" s="2"/>
      <c r="C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</row>
    <row r="974" spans="1:48" ht="12.75" x14ac:dyDescent="0.2">
      <c r="A974" s="2"/>
      <c r="B974" s="2"/>
      <c r="C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</row>
    <row r="975" spans="1:48" ht="12.75" x14ac:dyDescent="0.2">
      <c r="A975" s="2"/>
      <c r="B975" s="2"/>
      <c r="C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</row>
    <row r="976" spans="1:48" ht="12.75" x14ac:dyDescent="0.2">
      <c r="A976" s="2"/>
      <c r="B976" s="2"/>
      <c r="C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</row>
    <row r="977" spans="1:48" ht="12.75" x14ac:dyDescent="0.2">
      <c r="A977" s="2"/>
      <c r="B977" s="2"/>
      <c r="C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</row>
    <row r="978" spans="1:48" ht="12.75" x14ac:dyDescent="0.2">
      <c r="A978" s="2"/>
      <c r="B978" s="2"/>
      <c r="C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</row>
    <row r="979" spans="1:48" ht="12.75" x14ac:dyDescent="0.2">
      <c r="A979" s="2"/>
      <c r="B979" s="2"/>
      <c r="C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</row>
    <row r="980" spans="1:48" ht="12.75" x14ac:dyDescent="0.2">
      <c r="A980" s="2"/>
      <c r="B980" s="2"/>
      <c r="C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</row>
    <row r="981" spans="1:48" ht="12.75" x14ac:dyDescent="0.2">
      <c r="A981" s="2"/>
      <c r="B981" s="2"/>
      <c r="C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</row>
    <row r="982" spans="1:48" ht="12.75" x14ac:dyDescent="0.2">
      <c r="A982" s="2"/>
      <c r="B982" s="2"/>
      <c r="C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</row>
    <row r="983" spans="1:48" ht="12.75" x14ac:dyDescent="0.2">
      <c r="A983" s="2"/>
      <c r="B983" s="2"/>
      <c r="C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</row>
    <row r="984" spans="1:48" ht="12.75" x14ac:dyDescent="0.2">
      <c r="A984" s="2"/>
      <c r="B984" s="2"/>
      <c r="C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</row>
    <row r="985" spans="1:48" ht="12.75" x14ac:dyDescent="0.2">
      <c r="A985" s="2"/>
      <c r="B985" s="2"/>
      <c r="C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</row>
    <row r="986" spans="1:48" ht="12.75" x14ac:dyDescent="0.2">
      <c r="A986" s="2"/>
      <c r="B986" s="2"/>
      <c r="C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</row>
    <row r="987" spans="1:48" ht="12.75" x14ac:dyDescent="0.2">
      <c r="A987" s="2"/>
      <c r="B987" s="2"/>
      <c r="C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</row>
    <row r="988" spans="1:48" ht="12.75" x14ac:dyDescent="0.2">
      <c r="A988" s="2"/>
      <c r="B988" s="2"/>
      <c r="C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</row>
    <row r="989" spans="1:48" ht="12.75" x14ac:dyDescent="0.2">
      <c r="A989" s="2"/>
      <c r="B989" s="2"/>
      <c r="C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</row>
    <row r="990" spans="1:48" ht="12.75" x14ac:dyDescent="0.2">
      <c r="A990" s="2"/>
      <c r="B990" s="2"/>
      <c r="C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</row>
    <row r="991" spans="1:48" ht="12.75" x14ac:dyDescent="0.2">
      <c r="A991" s="2"/>
      <c r="B991" s="2"/>
      <c r="C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</row>
    <row r="992" spans="1:48" ht="12.75" x14ac:dyDescent="0.2">
      <c r="A992" s="2"/>
      <c r="B992" s="2"/>
      <c r="C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</row>
    <row r="993" spans="1:48" ht="12.75" x14ac:dyDescent="0.2">
      <c r="A993" s="2"/>
      <c r="B993" s="2"/>
      <c r="C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</row>
    <row r="994" spans="1:48" ht="12.75" x14ac:dyDescent="0.2">
      <c r="A994" s="2"/>
      <c r="B994" s="2"/>
      <c r="C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</row>
    <row r="995" spans="1:48" ht="12.75" x14ac:dyDescent="0.2">
      <c r="A995" s="2"/>
      <c r="B995" s="2"/>
      <c r="C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</row>
    <row r="996" spans="1:48" ht="12.75" x14ac:dyDescent="0.2">
      <c r="A996" s="2"/>
      <c r="B996" s="2"/>
      <c r="C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</row>
    <row r="997" spans="1:48" ht="12.75" x14ac:dyDescent="0.2">
      <c r="A997" s="2"/>
      <c r="B997" s="2"/>
      <c r="C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</row>
    <row r="998" spans="1:48" ht="12.75" x14ac:dyDescent="0.2">
      <c r="A998" s="2"/>
      <c r="B998" s="2"/>
      <c r="C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</row>
    <row r="999" spans="1:48" ht="12.75" x14ac:dyDescent="0.2">
      <c r="A999" s="2"/>
      <c r="B999" s="2"/>
      <c r="C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</row>
    <row r="1000" spans="1:48" ht="12.75" x14ac:dyDescent="0.2">
      <c r="A1000" s="2"/>
      <c r="B1000" s="2"/>
      <c r="C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</row>
    <row r="1001" spans="1:48" ht="12.75" x14ac:dyDescent="0.2">
      <c r="A1001" s="2"/>
      <c r="B1001" s="2"/>
      <c r="C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</row>
    <row r="1002" spans="1:48" ht="12.75" x14ac:dyDescent="0.2">
      <c r="A1002" s="2"/>
      <c r="B1002" s="2"/>
      <c r="C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</row>
    <row r="1003" spans="1:48" ht="12.75" x14ac:dyDescent="0.2">
      <c r="A1003" s="2"/>
      <c r="B1003" s="2"/>
      <c r="C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</row>
    <row r="1004" spans="1:48" ht="12.75" x14ac:dyDescent="0.2">
      <c r="A1004" s="2"/>
      <c r="B1004" s="2"/>
      <c r="C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</row>
    <row r="1005" spans="1:48" ht="12.75" x14ac:dyDescent="0.2">
      <c r="A1005" s="2"/>
      <c r="B1005" s="2"/>
      <c r="C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</row>
    <row r="1006" spans="1:48" ht="12.75" x14ac:dyDescent="0.2">
      <c r="A1006" s="2"/>
      <c r="B1006" s="2"/>
      <c r="C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</row>
    <row r="1007" spans="1:48" ht="12.75" x14ac:dyDescent="0.2">
      <c r="A1007" s="2"/>
      <c r="B1007" s="2"/>
      <c r="C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</row>
    <row r="1008" spans="1:48" ht="12.75" x14ac:dyDescent="0.2">
      <c r="A1008" s="2"/>
      <c r="B1008" s="2"/>
      <c r="C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</row>
    <row r="1009" spans="1:48" ht="12.75" x14ac:dyDescent="0.2">
      <c r="A1009" s="2"/>
      <c r="B1009" s="2"/>
      <c r="C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</row>
    <row r="1010" spans="1:48" ht="12.75" x14ac:dyDescent="0.2">
      <c r="A1010" s="2"/>
      <c r="B1010" s="2"/>
      <c r="C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</row>
    <row r="1011" spans="1:48" ht="12.75" x14ac:dyDescent="0.2">
      <c r="A1011" s="2"/>
      <c r="B1011" s="2"/>
      <c r="C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</row>
    <row r="1012" spans="1:48" ht="12.75" x14ac:dyDescent="0.2">
      <c r="A1012" s="2"/>
      <c r="B1012" s="2"/>
      <c r="C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</row>
    <row r="1013" spans="1:48" ht="12.75" x14ac:dyDescent="0.2">
      <c r="A1013" s="2"/>
      <c r="B1013" s="2"/>
      <c r="C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</row>
    <row r="1014" spans="1:48" ht="12.75" x14ac:dyDescent="0.2">
      <c r="A1014" s="2"/>
      <c r="B1014" s="2"/>
      <c r="C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</row>
    <row r="1015" spans="1:48" ht="12.75" x14ac:dyDescent="0.2">
      <c r="A1015" s="2"/>
      <c r="B1015" s="2"/>
      <c r="C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</row>
    <row r="1016" spans="1:48" ht="12.75" x14ac:dyDescent="0.2">
      <c r="A1016" s="2"/>
      <c r="B1016" s="2"/>
      <c r="C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</row>
    <row r="1017" spans="1:48" ht="12.75" x14ac:dyDescent="0.2">
      <c r="A1017" s="2"/>
      <c r="B1017" s="2"/>
      <c r="C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</row>
    <row r="1018" spans="1:48" ht="12.75" x14ac:dyDescent="0.2">
      <c r="A1018" s="2"/>
      <c r="B1018" s="2"/>
      <c r="C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</row>
    <row r="1019" spans="1:48" ht="12.75" x14ac:dyDescent="0.2">
      <c r="A1019" s="2"/>
      <c r="B1019" s="2"/>
      <c r="C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</row>
    <row r="1020" spans="1:48" ht="12.75" x14ac:dyDescent="0.2">
      <c r="A1020" s="2"/>
      <c r="B1020" s="2"/>
      <c r="C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</row>
    <row r="1021" spans="1:48" ht="12.75" x14ac:dyDescent="0.2">
      <c r="A1021" s="2"/>
      <c r="B1021" s="2"/>
      <c r="C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</row>
    <row r="1022" spans="1:48" ht="12.75" x14ac:dyDescent="0.2">
      <c r="A1022" s="2"/>
      <c r="B1022" s="2"/>
      <c r="C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</row>
    <row r="1023" spans="1:48" ht="12.75" x14ac:dyDescent="0.2">
      <c r="A1023" s="2"/>
      <c r="B1023" s="2"/>
      <c r="C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</row>
    <row r="1024" spans="1:48" ht="12.75" x14ac:dyDescent="0.2">
      <c r="A1024" s="2"/>
      <c r="B1024" s="2"/>
      <c r="C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</row>
    <row r="1025" spans="1:48" ht="12.75" x14ac:dyDescent="0.2">
      <c r="A1025" s="2"/>
      <c r="B1025" s="2"/>
      <c r="C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</row>
    <row r="1026" spans="1:48" ht="12.75" x14ac:dyDescent="0.2">
      <c r="A1026" s="2"/>
      <c r="B1026" s="2"/>
      <c r="C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</row>
    <row r="1027" spans="1:48" ht="12.75" x14ac:dyDescent="0.2">
      <c r="A1027" s="2"/>
      <c r="B1027" s="2"/>
      <c r="C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</row>
    <row r="1028" spans="1:48" ht="12.75" x14ac:dyDescent="0.2">
      <c r="A1028" s="2"/>
      <c r="B1028" s="2"/>
      <c r="C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</row>
    <row r="1029" spans="1:48" ht="12.75" x14ac:dyDescent="0.2">
      <c r="A1029" s="2"/>
      <c r="B1029" s="2"/>
      <c r="C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</row>
    <row r="1030" spans="1:48" ht="12.75" x14ac:dyDescent="0.2">
      <c r="A1030" s="2"/>
      <c r="B1030" s="2"/>
      <c r="C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</row>
    <row r="1031" spans="1:48" ht="12.75" x14ac:dyDescent="0.2">
      <c r="A1031" s="2"/>
      <c r="B1031" s="2"/>
      <c r="C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</row>
    <row r="1032" spans="1:48" ht="12.75" x14ac:dyDescent="0.2">
      <c r="A1032" s="2"/>
      <c r="B1032" s="2"/>
      <c r="C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</row>
    <row r="1033" spans="1:48" ht="12.75" x14ac:dyDescent="0.2">
      <c r="A1033" s="2"/>
      <c r="B1033" s="2"/>
      <c r="C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</row>
    <row r="1034" spans="1:48" ht="12.75" x14ac:dyDescent="0.2">
      <c r="A1034" s="2"/>
      <c r="B1034" s="2"/>
      <c r="C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</row>
    <row r="1035" spans="1:48" ht="12.75" x14ac:dyDescent="0.2">
      <c r="A1035" s="2"/>
      <c r="B1035" s="2"/>
      <c r="C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</row>
    <row r="1036" spans="1:48" ht="12.75" x14ac:dyDescent="0.2">
      <c r="A1036" s="2"/>
      <c r="B1036" s="2"/>
      <c r="C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</row>
    <row r="1037" spans="1:48" ht="12.75" x14ac:dyDescent="0.2">
      <c r="A1037" s="2"/>
      <c r="B1037" s="2"/>
      <c r="C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</row>
    <row r="1038" spans="1:48" ht="12.75" x14ac:dyDescent="0.2">
      <c r="A1038" s="2"/>
      <c r="B1038" s="2"/>
      <c r="C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</row>
    <row r="1039" spans="1:48" ht="12.75" x14ac:dyDescent="0.2">
      <c r="A1039" s="2"/>
      <c r="B1039" s="2"/>
      <c r="C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</row>
    <row r="1040" spans="1:48" ht="12.75" x14ac:dyDescent="0.2">
      <c r="A1040" s="2"/>
      <c r="B1040" s="2"/>
      <c r="C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</row>
    <row r="1041" spans="1:48" ht="12.75" x14ac:dyDescent="0.2">
      <c r="A1041" s="2"/>
      <c r="B1041" s="2"/>
      <c r="C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</row>
    <row r="1042" spans="1:48" ht="12.75" x14ac:dyDescent="0.2">
      <c r="A1042" s="2"/>
      <c r="B1042" s="2"/>
      <c r="C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</row>
    <row r="1043" spans="1:48" ht="12.75" x14ac:dyDescent="0.2">
      <c r="A1043" s="2"/>
      <c r="B1043" s="2"/>
      <c r="C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</row>
    <row r="1044" spans="1:48" ht="12.75" x14ac:dyDescent="0.2">
      <c r="A1044" s="2"/>
      <c r="B1044" s="2"/>
      <c r="C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</row>
    <row r="1045" spans="1:48" ht="12.75" x14ac:dyDescent="0.2">
      <c r="A1045" s="2"/>
      <c r="B1045" s="2"/>
      <c r="C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</row>
    <row r="1046" spans="1:48" ht="12.75" x14ac:dyDescent="0.2">
      <c r="A1046" s="2"/>
      <c r="B1046" s="2"/>
      <c r="C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</row>
    <row r="1047" spans="1:48" ht="12.75" x14ac:dyDescent="0.2">
      <c r="A1047" s="2"/>
      <c r="B1047" s="2"/>
      <c r="C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</row>
    <row r="1048" spans="1:48" ht="12.75" x14ac:dyDescent="0.2">
      <c r="A1048" s="2"/>
      <c r="B1048" s="2"/>
      <c r="C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</row>
    <row r="1049" spans="1:48" ht="12.75" x14ac:dyDescent="0.2">
      <c r="A1049" s="2"/>
      <c r="B1049" s="2"/>
      <c r="C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</row>
    <row r="1050" spans="1:48" ht="12.75" x14ac:dyDescent="0.2">
      <c r="A1050" s="2"/>
      <c r="B1050" s="2"/>
      <c r="C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</row>
    <row r="1051" spans="1:48" ht="12.75" x14ac:dyDescent="0.2">
      <c r="A1051" s="2"/>
      <c r="B1051" s="2"/>
      <c r="C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</row>
    <row r="1052" spans="1:48" ht="12.75" x14ac:dyDescent="0.2">
      <c r="A1052" s="2"/>
      <c r="B1052" s="2"/>
      <c r="C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</row>
    <row r="1053" spans="1:48" ht="12.75" x14ac:dyDescent="0.2">
      <c r="A1053" s="2"/>
      <c r="B1053" s="2"/>
      <c r="C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</row>
    <row r="1054" spans="1:48" ht="12.75" x14ac:dyDescent="0.2">
      <c r="A1054" s="2"/>
      <c r="B1054" s="2"/>
      <c r="C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</row>
    <row r="1055" spans="1:48" ht="12.75" x14ac:dyDescent="0.2">
      <c r="A1055" s="2"/>
      <c r="B1055" s="2"/>
      <c r="C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</row>
    <row r="1056" spans="1:48" ht="12.75" x14ac:dyDescent="0.2">
      <c r="A1056" s="2"/>
      <c r="B1056" s="2"/>
      <c r="C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</row>
    <row r="1057" spans="1:48" ht="12.75" x14ac:dyDescent="0.2">
      <c r="A1057" s="2"/>
      <c r="B1057" s="2"/>
      <c r="C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</row>
    <row r="1058" spans="1:48" ht="12.75" x14ac:dyDescent="0.2">
      <c r="A1058" s="2"/>
      <c r="B1058" s="2"/>
      <c r="C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</row>
    <row r="1059" spans="1:48" ht="12.75" x14ac:dyDescent="0.2">
      <c r="A1059" s="2"/>
      <c r="B1059" s="2"/>
      <c r="C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</row>
    <row r="1060" spans="1:48" ht="12.75" x14ac:dyDescent="0.2">
      <c r="A1060" s="2"/>
      <c r="B1060" s="2"/>
      <c r="C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</row>
    <row r="1061" spans="1:48" ht="12.75" x14ac:dyDescent="0.2">
      <c r="A1061" s="2"/>
      <c r="B1061" s="2"/>
      <c r="C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</row>
    <row r="1062" spans="1:48" ht="12.75" x14ac:dyDescent="0.2">
      <c r="A1062" s="2"/>
      <c r="B1062" s="2"/>
      <c r="C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</row>
    <row r="1063" spans="1:48" ht="12.75" x14ac:dyDescent="0.2">
      <c r="A1063" s="2"/>
      <c r="B1063" s="2"/>
      <c r="C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</row>
    <row r="1064" spans="1:48" ht="12.75" x14ac:dyDescent="0.2">
      <c r="A1064" s="2"/>
      <c r="B1064" s="2"/>
      <c r="C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</row>
    <row r="1065" spans="1:48" ht="12.75" x14ac:dyDescent="0.2">
      <c r="A1065" s="2"/>
      <c r="B1065" s="2"/>
      <c r="C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</row>
    <row r="1066" spans="1:48" ht="12.75" x14ac:dyDescent="0.2">
      <c r="A1066" s="2"/>
      <c r="B1066" s="2"/>
      <c r="C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</row>
    <row r="1067" spans="1:48" ht="12.75" x14ac:dyDescent="0.2">
      <c r="A1067" s="2"/>
      <c r="B1067" s="2"/>
      <c r="C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</row>
    <row r="1068" spans="1:48" ht="12.75" x14ac:dyDescent="0.2">
      <c r="A1068" s="2"/>
      <c r="B1068" s="2"/>
      <c r="C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</row>
    <row r="1069" spans="1:48" ht="12.75" x14ac:dyDescent="0.2">
      <c r="A1069" s="2"/>
      <c r="B1069" s="2"/>
      <c r="C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</row>
    <row r="1070" spans="1:48" ht="12.75" x14ac:dyDescent="0.2">
      <c r="A1070" s="2"/>
      <c r="B1070" s="2"/>
      <c r="C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</row>
    <row r="1071" spans="1:48" ht="12.75" x14ac:dyDescent="0.2">
      <c r="A1071" s="2"/>
      <c r="B1071" s="2"/>
      <c r="C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</row>
    <row r="1072" spans="1:48" ht="12.75" x14ac:dyDescent="0.2">
      <c r="A1072" s="2"/>
      <c r="B1072" s="2"/>
      <c r="C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</row>
    <row r="1073" spans="1:48" ht="12.75" x14ac:dyDescent="0.2">
      <c r="A1073" s="2"/>
      <c r="B1073" s="2"/>
      <c r="C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</row>
    <row r="1074" spans="1:48" ht="12.75" x14ac:dyDescent="0.2">
      <c r="A1074" s="2"/>
      <c r="B1074" s="2"/>
      <c r="C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</row>
    <row r="1075" spans="1:48" ht="12.75" x14ac:dyDescent="0.2">
      <c r="A1075" s="2"/>
      <c r="B1075" s="2"/>
      <c r="C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</row>
    <row r="1076" spans="1:48" ht="12.75" x14ac:dyDescent="0.2">
      <c r="A1076" s="2"/>
      <c r="B1076" s="2"/>
      <c r="C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</row>
    <row r="1077" spans="1:48" ht="12.75" x14ac:dyDescent="0.2">
      <c r="A1077" s="2"/>
      <c r="B1077" s="2"/>
      <c r="C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</row>
    <row r="1078" spans="1:48" ht="12.75" x14ac:dyDescent="0.2">
      <c r="A1078" s="2"/>
      <c r="B1078" s="2"/>
      <c r="C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</row>
    <row r="1079" spans="1:48" ht="12.75" x14ac:dyDescent="0.2">
      <c r="A1079" s="2"/>
      <c r="B1079" s="2"/>
      <c r="C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</row>
    <row r="1080" spans="1:48" ht="12.75" x14ac:dyDescent="0.2">
      <c r="A1080" s="2"/>
      <c r="B1080" s="2"/>
      <c r="C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</row>
    <row r="1081" spans="1:48" ht="12.75" x14ac:dyDescent="0.2">
      <c r="A1081" s="2"/>
      <c r="B1081" s="2"/>
      <c r="C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</row>
    <row r="1082" spans="1:48" ht="12.75" x14ac:dyDescent="0.2">
      <c r="A1082" s="2"/>
      <c r="B1082" s="2"/>
      <c r="C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</row>
    <row r="1083" spans="1:48" ht="12.75" x14ac:dyDescent="0.2">
      <c r="A1083" s="2"/>
      <c r="B1083" s="2"/>
      <c r="C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</row>
    <row r="1084" spans="1:48" ht="12.75" x14ac:dyDescent="0.2">
      <c r="A1084" s="2"/>
      <c r="B1084" s="2"/>
      <c r="C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</row>
    <row r="1085" spans="1:48" ht="12.75" x14ac:dyDescent="0.2">
      <c r="A1085" s="2"/>
      <c r="B1085" s="2"/>
      <c r="C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</row>
    <row r="1086" spans="1:48" ht="12.75" x14ac:dyDescent="0.2">
      <c r="A1086" s="2"/>
      <c r="B1086" s="2"/>
      <c r="C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</row>
    <row r="1087" spans="1:48" ht="12.75" x14ac:dyDescent="0.2">
      <c r="A1087" s="2"/>
      <c r="B1087" s="2"/>
      <c r="C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</row>
    <row r="1088" spans="1:48" ht="12.75" x14ac:dyDescent="0.2">
      <c r="A1088" s="2"/>
      <c r="B1088" s="2"/>
      <c r="C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</row>
    <row r="1089" spans="1:48" ht="12.75" x14ac:dyDescent="0.2">
      <c r="A1089" s="2"/>
      <c r="B1089" s="2"/>
      <c r="C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</row>
    <row r="1090" spans="1:48" ht="12.75" x14ac:dyDescent="0.2">
      <c r="A1090" s="2"/>
      <c r="B1090" s="2"/>
      <c r="C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</row>
    <row r="1091" spans="1:48" ht="12.75" x14ac:dyDescent="0.2">
      <c r="A1091" s="2"/>
      <c r="B1091" s="2"/>
      <c r="C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</row>
    <row r="1092" spans="1:48" ht="12.75" x14ac:dyDescent="0.2">
      <c r="A1092" s="2"/>
      <c r="B1092" s="2"/>
      <c r="C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</row>
    <row r="1093" spans="1:48" ht="12.75" x14ac:dyDescent="0.2">
      <c r="A1093" s="2"/>
      <c r="B1093" s="2"/>
      <c r="C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</row>
    <row r="1094" spans="1:48" ht="12.75" x14ac:dyDescent="0.2">
      <c r="A1094" s="2"/>
      <c r="B1094" s="2"/>
      <c r="C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</row>
    <row r="1095" spans="1:48" ht="12.75" x14ac:dyDescent="0.2">
      <c r="A1095" s="2"/>
      <c r="B1095" s="2"/>
      <c r="C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</row>
    <row r="1096" spans="1:48" ht="12.75" x14ac:dyDescent="0.2">
      <c r="A1096" s="2"/>
      <c r="B1096" s="2"/>
      <c r="C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</row>
    <row r="1097" spans="1:48" ht="12.75" x14ac:dyDescent="0.2">
      <c r="A1097" s="2"/>
      <c r="B1097" s="2"/>
      <c r="C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</row>
    <row r="1098" spans="1:48" ht="12.75" x14ac:dyDescent="0.2">
      <c r="A1098" s="2"/>
      <c r="B1098" s="2"/>
      <c r="C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</row>
    <row r="1099" spans="1:48" ht="12.75" x14ac:dyDescent="0.2">
      <c r="A1099" s="2"/>
      <c r="B1099" s="2"/>
      <c r="C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</row>
    <row r="1100" spans="1:48" ht="12.75" x14ac:dyDescent="0.2">
      <c r="A1100" s="2"/>
      <c r="B1100" s="2"/>
      <c r="C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</row>
    <row r="1101" spans="1:48" ht="12.75" x14ac:dyDescent="0.2">
      <c r="A1101" s="2"/>
      <c r="B1101" s="2"/>
      <c r="C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</row>
    <row r="1102" spans="1:48" ht="12.75" x14ac:dyDescent="0.2">
      <c r="A1102" s="2"/>
      <c r="B1102" s="2"/>
      <c r="C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</row>
    <row r="1103" spans="1:48" ht="12.75" x14ac:dyDescent="0.2">
      <c r="A1103" s="2"/>
      <c r="B1103" s="2"/>
      <c r="C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</row>
    <row r="1104" spans="1:48" ht="12.75" x14ac:dyDescent="0.2">
      <c r="A1104" s="2"/>
      <c r="B1104" s="2"/>
      <c r="C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</row>
    <row r="1105" spans="1:48" ht="12.75" x14ac:dyDescent="0.2">
      <c r="A1105" s="2"/>
      <c r="B1105" s="2"/>
      <c r="C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</row>
    <row r="1106" spans="1:48" ht="12.75" x14ac:dyDescent="0.2">
      <c r="A1106" s="2"/>
      <c r="B1106" s="2"/>
      <c r="C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</row>
    <row r="1107" spans="1:48" ht="12.75" x14ac:dyDescent="0.2">
      <c r="A1107" s="2"/>
      <c r="B1107" s="2"/>
      <c r="C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</row>
    <row r="1108" spans="1:48" ht="12.75" x14ac:dyDescent="0.2">
      <c r="A1108" s="2"/>
      <c r="B1108" s="2"/>
      <c r="C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</row>
    <row r="1109" spans="1:48" ht="12.75" x14ac:dyDescent="0.2">
      <c r="A1109" s="2"/>
      <c r="B1109" s="2"/>
      <c r="C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</row>
    <row r="1110" spans="1:48" ht="12.75" x14ac:dyDescent="0.2">
      <c r="A1110" s="2"/>
      <c r="B1110" s="2"/>
      <c r="C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</row>
    <row r="1111" spans="1:48" ht="12.75" x14ac:dyDescent="0.2">
      <c r="A1111" s="2"/>
      <c r="B1111" s="2"/>
      <c r="C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</row>
    <row r="1112" spans="1:48" ht="12.75" x14ac:dyDescent="0.2">
      <c r="A1112" s="2"/>
      <c r="B1112" s="2"/>
      <c r="C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</row>
    <row r="1113" spans="1:48" ht="12.75" x14ac:dyDescent="0.2">
      <c r="A1113" s="2"/>
      <c r="B1113" s="2"/>
      <c r="C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</row>
    <row r="1114" spans="1:48" ht="12.75" x14ac:dyDescent="0.2">
      <c r="A1114" s="2"/>
      <c r="B1114" s="2"/>
      <c r="C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</row>
    <row r="1115" spans="1:48" ht="12.75" x14ac:dyDescent="0.2">
      <c r="A1115" s="2"/>
      <c r="B1115" s="2"/>
      <c r="C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</row>
    <row r="1116" spans="1:48" ht="12.75" x14ac:dyDescent="0.2">
      <c r="A1116" s="2"/>
      <c r="B1116" s="2"/>
      <c r="C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</row>
    <row r="1117" spans="1:48" ht="12.75" x14ac:dyDescent="0.2">
      <c r="A1117" s="2"/>
      <c r="B1117" s="2"/>
      <c r="C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</row>
    <row r="1118" spans="1:48" ht="12.75" x14ac:dyDescent="0.2">
      <c r="A1118" s="2"/>
      <c r="B1118" s="2"/>
      <c r="C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</row>
    <row r="1119" spans="1:48" ht="12.75" x14ac:dyDescent="0.2">
      <c r="A1119" s="2"/>
      <c r="B1119" s="2"/>
      <c r="C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</row>
    <row r="1120" spans="1:48" ht="12.75" x14ac:dyDescent="0.2">
      <c r="A1120" s="2"/>
      <c r="B1120" s="2"/>
      <c r="C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</row>
    <row r="1121" spans="1:48" ht="12.75" x14ac:dyDescent="0.2">
      <c r="A1121" s="2"/>
      <c r="B1121" s="2"/>
      <c r="C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</row>
    <row r="1122" spans="1:48" ht="12.75" x14ac:dyDescent="0.2">
      <c r="A1122" s="2"/>
      <c r="B1122" s="2"/>
      <c r="C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</row>
    <row r="1123" spans="1:48" ht="12.75" x14ac:dyDescent="0.2">
      <c r="A1123" s="2"/>
      <c r="B1123" s="2"/>
      <c r="C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</row>
    <row r="1124" spans="1:48" ht="12.75" x14ac:dyDescent="0.2">
      <c r="A1124" s="2"/>
      <c r="B1124" s="2"/>
      <c r="C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</row>
    <row r="1125" spans="1:48" ht="12.75" x14ac:dyDescent="0.2">
      <c r="A1125" s="2"/>
      <c r="B1125" s="2"/>
      <c r="C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</row>
    <row r="1126" spans="1:48" ht="12.75" x14ac:dyDescent="0.2">
      <c r="A1126" s="2"/>
      <c r="B1126" s="2"/>
      <c r="C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</row>
    <row r="1127" spans="1:48" ht="12.75" x14ac:dyDescent="0.2">
      <c r="A1127" s="2"/>
      <c r="B1127" s="2"/>
      <c r="C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</row>
    <row r="1128" spans="1:48" ht="12.75" x14ac:dyDescent="0.2">
      <c r="A1128" s="2"/>
      <c r="B1128" s="2"/>
      <c r="C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</row>
    <row r="1129" spans="1:48" ht="12.75" x14ac:dyDescent="0.2">
      <c r="A1129" s="2"/>
      <c r="B1129" s="2"/>
      <c r="C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</row>
    <row r="1130" spans="1:48" ht="12.75" x14ac:dyDescent="0.2">
      <c r="A1130" s="2"/>
      <c r="B1130" s="2"/>
      <c r="C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</row>
    <row r="1131" spans="1:48" ht="12.75" x14ac:dyDescent="0.2">
      <c r="A1131" s="2"/>
      <c r="B1131" s="2"/>
      <c r="C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</row>
    <row r="1132" spans="1:48" ht="12.75" x14ac:dyDescent="0.2">
      <c r="A1132" s="2"/>
      <c r="B1132" s="2"/>
      <c r="C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</row>
    <row r="1133" spans="1:48" ht="12.75" x14ac:dyDescent="0.2">
      <c r="A1133" s="2"/>
      <c r="B1133" s="2"/>
      <c r="C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</row>
    <row r="1134" spans="1:48" ht="12.75" x14ac:dyDescent="0.2">
      <c r="A1134" s="2"/>
      <c r="B1134" s="2"/>
      <c r="C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</row>
    <row r="1135" spans="1:48" ht="12.75" x14ac:dyDescent="0.2">
      <c r="A1135" s="2"/>
      <c r="B1135" s="2"/>
      <c r="C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</row>
    <row r="1136" spans="1:48" ht="12.75" x14ac:dyDescent="0.2">
      <c r="A1136" s="2"/>
      <c r="B1136" s="2"/>
      <c r="C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</row>
    <row r="1137" spans="1:48" ht="12.75" x14ac:dyDescent="0.2">
      <c r="A1137" s="2"/>
      <c r="B1137" s="2"/>
      <c r="C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</row>
    <row r="1138" spans="1:48" ht="12.75" x14ac:dyDescent="0.2">
      <c r="A1138" s="2"/>
      <c r="B1138" s="2"/>
      <c r="C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</row>
    <row r="1139" spans="1:48" ht="12.75" x14ac:dyDescent="0.2">
      <c r="A1139" s="2"/>
      <c r="B1139" s="2"/>
      <c r="C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</row>
    <row r="1140" spans="1:48" ht="12.75" x14ac:dyDescent="0.2">
      <c r="A1140" s="2"/>
      <c r="B1140" s="2"/>
      <c r="C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</row>
    <row r="1141" spans="1:48" ht="12.75" x14ac:dyDescent="0.2">
      <c r="A1141" s="2"/>
      <c r="B1141" s="2"/>
      <c r="C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</row>
    <row r="1142" spans="1:48" ht="12.75" x14ac:dyDescent="0.2">
      <c r="A1142" s="2"/>
      <c r="B1142" s="2"/>
      <c r="C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</row>
    <row r="1143" spans="1:48" ht="12.75" x14ac:dyDescent="0.2">
      <c r="A1143" s="2"/>
      <c r="B1143" s="2"/>
      <c r="C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</row>
    <row r="1144" spans="1:48" ht="12.75" x14ac:dyDescent="0.2">
      <c r="A1144" s="2"/>
      <c r="B1144" s="2"/>
      <c r="C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</row>
    <row r="1145" spans="1:48" ht="12.75" x14ac:dyDescent="0.2">
      <c r="A1145" s="2"/>
      <c r="B1145" s="2"/>
      <c r="C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</row>
    <row r="1146" spans="1:48" ht="12.75" x14ac:dyDescent="0.2">
      <c r="A1146" s="2"/>
      <c r="B1146" s="2"/>
      <c r="C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</row>
    <row r="1147" spans="1:48" ht="12.75" x14ac:dyDescent="0.2">
      <c r="A1147" s="2"/>
      <c r="B1147" s="2"/>
      <c r="C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</row>
    <row r="1148" spans="1:48" ht="12.75" x14ac:dyDescent="0.2">
      <c r="A1148" s="2"/>
      <c r="B1148" s="2"/>
      <c r="C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</row>
    <row r="1149" spans="1:48" ht="12.75" x14ac:dyDescent="0.2">
      <c r="A1149" s="2"/>
      <c r="B1149" s="2"/>
      <c r="C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</row>
    <row r="1150" spans="1:48" ht="12.75" x14ac:dyDescent="0.2">
      <c r="A1150" s="2"/>
      <c r="B1150" s="2"/>
      <c r="C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</row>
    <row r="1151" spans="1:48" ht="12.75" x14ac:dyDescent="0.2">
      <c r="A1151" s="2"/>
      <c r="B1151" s="2"/>
      <c r="C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</row>
    <row r="1152" spans="1:48" ht="12.75" x14ac:dyDescent="0.2">
      <c r="A1152" s="2"/>
      <c r="B1152" s="2"/>
      <c r="C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</row>
    <row r="1153" spans="1:48" ht="12.75" x14ac:dyDescent="0.2">
      <c r="A1153" s="2"/>
      <c r="B1153" s="2"/>
      <c r="C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</row>
    <row r="1154" spans="1:48" ht="12.75" x14ac:dyDescent="0.2">
      <c r="A1154" s="2"/>
      <c r="B1154" s="2"/>
      <c r="C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</row>
    <row r="1155" spans="1:48" ht="12.75" x14ac:dyDescent="0.2">
      <c r="A1155" s="2"/>
      <c r="B1155" s="2"/>
      <c r="C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</row>
    <row r="1156" spans="1:48" ht="12.75" x14ac:dyDescent="0.2">
      <c r="A1156" s="2"/>
      <c r="B1156" s="2"/>
      <c r="C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</row>
    <row r="1157" spans="1:48" ht="12.75" x14ac:dyDescent="0.2">
      <c r="A1157" s="2"/>
      <c r="B1157" s="2"/>
      <c r="C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</row>
    <row r="1158" spans="1:48" ht="12.75" x14ac:dyDescent="0.2">
      <c r="A1158" s="2"/>
      <c r="B1158" s="2"/>
      <c r="C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</row>
    <row r="1159" spans="1:48" ht="12.75" x14ac:dyDescent="0.2">
      <c r="A1159" s="2"/>
      <c r="B1159" s="2"/>
      <c r="C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</row>
    <row r="1160" spans="1:48" ht="12.75" x14ac:dyDescent="0.2">
      <c r="A1160" s="2"/>
      <c r="B1160" s="2"/>
      <c r="C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</row>
    <row r="1161" spans="1:48" ht="12.75" x14ac:dyDescent="0.2">
      <c r="A1161" s="2"/>
      <c r="B1161" s="2"/>
      <c r="C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</row>
    <row r="1162" spans="1:48" ht="12.75" x14ac:dyDescent="0.2">
      <c r="A1162" s="2"/>
      <c r="B1162" s="2"/>
      <c r="C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</row>
    <row r="1163" spans="1:48" ht="12.75" x14ac:dyDescent="0.2">
      <c r="A1163" s="2"/>
      <c r="B1163" s="2"/>
      <c r="C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</row>
    <row r="1164" spans="1:48" ht="12.75" x14ac:dyDescent="0.2">
      <c r="A1164" s="2"/>
      <c r="B1164" s="2"/>
      <c r="C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</row>
    <row r="1165" spans="1:48" ht="12.75" x14ac:dyDescent="0.2">
      <c r="A1165" s="2"/>
      <c r="B1165" s="2"/>
      <c r="C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</row>
    <row r="1166" spans="1:48" ht="12.75" x14ac:dyDescent="0.2">
      <c r="A1166" s="2"/>
      <c r="B1166" s="2"/>
      <c r="C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</row>
    <row r="1167" spans="1:48" ht="12.75" x14ac:dyDescent="0.2">
      <c r="A1167" s="2"/>
      <c r="B1167" s="2"/>
      <c r="C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</row>
    <row r="1168" spans="1:48" ht="12.75" x14ac:dyDescent="0.2">
      <c r="A1168" s="2"/>
      <c r="B1168" s="2"/>
      <c r="C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</row>
    <row r="1169" spans="1:48" ht="12.75" x14ac:dyDescent="0.2">
      <c r="A1169" s="2"/>
      <c r="B1169" s="2"/>
      <c r="C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</row>
    <row r="1170" spans="1:48" ht="12.75" x14ac:dyDescent="0.2">
      <c r="A1170" s="2"/>
      <c r="B1170" s="2"/>
      <c r="C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</row>
    <row r="1171" spans="1:48" ht="12.75" x14ac:dyDescent="0.2">
      <c r="A1171" s="2"/>
      <c r="B1171" s="2"/>
      <c r="C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</row>
    <row r="1172" spans="1:48" ht="12.75" x14ac:dyDescent="0.2">
      <c r="A1172" s="2"/>
      <c r="B1172" s="2"/>
      <c r="C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</row>
    <row r="1173" spans="1:48" ht="12.75" x14ac:dyDescent="0.2">
      <c r="A1173" s="2"/>
      <c r="B1173" s="2"/>
      <c r="C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</row>
    <row r="1174" spans="1:48" ht="12.75" x14ac:dyDescent="0.2">
      <c r="A1174" s="2"/>
      <c r="B1174" s="2"/>
      <c r="C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</row>
    <row r="1175" spans="1:48" ht="12.75" x14ac:dyDescent="0.2">
      <c r="A1175" s="2"/>
      <c r="B1175" s="2"/>
      <c r="C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</row>
    <row r="1176" spans="1:48" ht="12.75" x14ac:dyDescent="0.2">
      <c r="A1176" s="2"/>
      <c r="B1176" s="2"/>
      <c r="C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</row>
    <row r="1177" spans="1:48" ht="12.75" x14ac:dyDescent="0.2">
      <c r="A1177" s="2"/>
      <c r="B1177" s="2"/>
      <c r="C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</row>
    <row r="1178" spans="1:48" ht="12.75" x14ac:dyDescent="0.2">
      <c r="A1178" s="2"/>
      <c r="B1178" s="2"/>
      <c r="C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</row>
    <row r="1179" spans="1:48" ht="12.75" x14ac:dyDescent="0.2">
      <c r="A1179" s="2"/>
      <c r="B1179" s="2"/>
      <c r="C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</row>
    <row r="1180" spans="1:48" ht="12.75" x14ac:dyDescent="0.2">
      <c r="A1180" s="2"/>
      <c r="B1180" s="2"/>
      <c r="C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</row>
    <row r="1181" spans="1:48" ht="12.75" x14ac:dyDescent="0.2">
      <c r="A1181" s="2"/>
      <c r="B1181" s="2"/>
      <c r="C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</row>
    <row r="1182" spans="1:48" ht="12.75" x14ac:dyDescent="0.2">
      <c r="A1182" s="2"/>
      <c r="B1182" s="2"/>
      <c r="C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</row>
    <row r="1183" spans="1:48" ht="12.75" x14ac:dyDescent="0.2">
      <c r="A1183" s="2"/>
      <c r="B1183" s="2"/>
      <c r="C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</row>
    <row r="1184" spans="1:48" ht="12.75" x14ac:dyDescent="0.2">
      <c r="A1184" s="2"/>
      <c r="B1184" s="2"/>
      <c r="C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</row>
    <row r="1185" spans="1:48" ht="12.75" x14ac:dyDescent="0.2">
      <c r="A1185" s="2"/>
      <c r="B1185" s="2"/>
      <c r="C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</row>
    <row r="1186" spans="1:48" ht="12.75" x14ac:dyDescent="0.2">
      <c r="A1186" s="2"/>
      <c r="B1186" s="2"/>
      <c r="C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</row>
    <row r="1187" spans="1:48" ht="12.75" x14ac:dyDescent="0.2">
      <c r="A1187" s="2"/>
      <c r="B1187" s="2"/>
      <c r="C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</row>
    <row r="1188" spans="1:48" ht="12.75" x14ac:dyDescent="0.2">
      <c r="A1188" s="2"/>
      <c r="B1188" s="2"/>
      <c r="C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</row>
    <row r="1189" spans="1:48" ht="12.75" x14ac:dyDescent="0.2">
      <c r="A1189" s="2"/>
      <c r="B1189" s="2"/>
      <c r="C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</row>
    <row r="1190" spans="1:48" ht="12.75" x14ac:dyDescent="0.2">
      <c r="A1190" s="2"/>
      <c r="B1190" s="2"/>
      <c r="C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</row>
    <row r="1191" spans="1:48" ht="12.75" x14ac:dyDescent="0.2">
      <c r="A1191" s="2"/>
      <c r="B1191" s="2"/>
      <c r="C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</row>
    <row r="1192" spans="1:48" ht="12.75" x14ac:dyDescent="0.2">
      <c r="A1192" s="2"/>
      <c r="B1192" s="2"/>
      <c r="C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</row>
    <row r="1193" spans="1:48" ht="12.75" x14ac:dyDescent="0.2">
      <c r="A1193" s="2"/>
      <c r="B1193" s="2"/>
      <c r="C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</row>
    <row r="1194" spans="1:48" ht="12.75" x14ac:dyDescent="0.2">
      <c r="A1194" s="2"/>
      <c r="B1194" s="2"/>
      <c r="C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</row>
    <row r="1195" spans="1:48" ht="12.75" x14ac:dyDescent="0.2">
      <c r="A1195" s="2"/>
      <c r="B1195" s="2"/>
      <c r="C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</row>
    <row r="1196" spans="1:48" ht="12.75" x14ac:dyDescent="0.2">
      <c r="A1196" s="2"/>
      <c r="B1196" s="2"/>
      <c r="C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</row>
    <row r="1197" spans="1:48" ht="12.75" x14ac:dyDescent="0.2">
      <c r="A1197" s="2"/>
      <c r="B1197" s="2"/>
      <c r="C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</row>
    <row r="1198" spans="1:48" ht="12.75" x14ac:dyDescent="0.2">
      <c r="A1198" s="2"/>
      <c r="B1198" s="2"/>
      <c r="C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</row>
    <row r="1199" spans="1:48" ht="12.75" x14ac:dyDescent="0.2">
      <c r="A1199" s="2"/>
      <c r="B1199" s="2"/>
      <c r="C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</row>
    <row r="1200" spans="1:48" ht="12.75" x14ac:dyDescent="0.2">
      <c r="A1200" s="2"/>
      <c r="B1200" s="2"/>
      <c r="C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</row>
    <row r="1201" spans="1:48" ht="12.75" x14ac:dyDescent="0.2">
      <c r="A1201" s="2"/>
      <c r="B1201" s="2"/>
      <c r="C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</row>
    <row r="1202" spans="1:48" ht="12.75" x14ac:dyDescent="0.2">
      <c r="A1202" s="2"/>
      <c r="B1202" s="2"/>
      <c r="C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</row>
    <row r="1203" spans="1:48" ht="12.75" x14ac:dyDescent="0.2">
      <c r="A1203" s="2"/>
      <c r="B1203" s="2"/>
      <c r="C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</row>
    <row r="1204" spans="1:48" ht="12.75" x14ac:dyDescent="0.2">
      <c r="A1204" s="2"/>
      <c r="B1204" s="2"/>
      <c r="C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</row>
    <row r="1205" spans="1:48" ht="12.75" x14ac:dyDescent="0.2">
      <c r="A1205" s="2"/>
      <c r="B1205" s="2"/>
      <c r="C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</row>
    <row r="1206" spans="1:48" ht="12.75" x14ac:dyDescent="0.2">
      <c r="A1206" s="2"/>
      <c r="B1206" s="2"/>
      <c r="C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</row>
    <row r="1207" spans="1:48" ht="12.75" x14ac:dyDescent="0.2">
      <c r="A1207" s="2"/>
      <c r="B1207" s="2"/>
      <c r="C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</row>
    <row r="1208" spans="1:48" ht="12.75" x14ac:dyDescent="0.2">
      <c r="A1208" s="2"/>
      <c r="B1208" s="2"/>
      <c r="C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</row>
    <row r="1209" spans="1:48" ht="12.75" x14ac:dyDescent="0.2">
      <c r="A1209" s="2"/>
      <c r="B1209" s="2"/>
      <c r="C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</row>
    <row r="1210" spans="1:48" ht="12.75" x14ac:dyDescent="0.2">
      <c r="A1210" s="2"/>
      <c r="B1210" s="2"/>
      <c r="C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</row>
    <row r="1211" spans="1:48" ht="12.75" x14ac:dyDescent="0.2">
      <c r="A1211" s="2"/>
      <c r="B1211" s="2"/>
      <c r="C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</row>
    <row r="1212" spans="1:48" ht="12.75" x14ac:dyDescent="0.2">
      <c r="A1212" s="2"/>
      <c r="B1212" s="2"/>
      <c r="C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</row>
    <row r="1213" spans="1:48" ht="12.75" x14ac:dyDescent="0.2">
      <c r="A1213" s="2"/>
      <c r="B1213" s="2"/>
      <c r="C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</row>
    <row r="1214" spans="1:48" ht="12.75" x14ac:dyDescent="0.2">
      <c r="A1214" s="2"/>
      <c r="B1214" s="2"/>
      <c r="C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</row>
    <row r="1215" spans="1:48" ht="12.75" x14ac:dyDescent="0.2">
      <c r="A1215" s="2"/>
      <c r="B1215" s="2"/>
      <c r="C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</row>
    <row r="1216" spans="1:48" ht="12.75" x14ac:dyDescent="0.2">
      <c r="A1216" s="2"/>
      <c r="B1216" s="2"/>
      <c r="C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</row>
    <row r="1217" spans="1:48" ht="12.75" x14ac:dyDescent="0.2">
      <c r="A1217" s="2"/>
      <c r="B1217" s="2"/>
      <c r="C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</row>
    <row r="1218" spans="1:48" ht="12.75" x14ac:dyDescent="0.2">
      <c r="A1218" s="2"/>
      <c r="B1218" s="2"/>
      <c r="C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</row>
    <row r="1219" spans="1:48" ht="12.75" x14ac:dyDescent="0.2">
      <c r="A1219" s="2"/>
      <c r="B1219" s="2"/>
      <c r="C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</row>
    <row r="1220" spans="1:48" ht="12.75" x14ac:dyDescent="0.2">
      <c r="A1220" s="2"/>
      <c r="B1220" s="2"/>
      <c r="C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</row>
    <row r="1221" spans="1:48" ht="12.75" x14ac:dyDescent="0.2">
      <c r="A1221" s="2"/>
      <c r="B1221" s="2"/>
      <c r="C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</row>
    <row r="1222" spans="1:48" ht="12.75" x14ac:dyDescent="0.2">
      <c r="A1222" s="2"/>
      <c r="B1222" s="2"/>
      <c r="C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</row>
    <row r="1223" spans="1:48" ht="12.75" x14ac:dyDescent="0.2">
      <c r="A1223" s="2"/>
      <c r="B1223" s="2"/>
      <c r="C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</row>
    <row r="1224" spans="1:48" ht="12.75" x14ac:dyDescent="0.2">
      <c r="A1224" s="2"/>
      <c r="B1224" s="2"/>
      <c r="C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</row>
    <row r="1225" spans="1:48" ht="12.75" x14ac:dyDescent="0.2">
      <c r="A1225" s="2"/>
      <c r="B1225" s="2"/>
      <c r="C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</row>
    <row r="1226" spans="1:48" ht="12.75" x14ac:dyDescent="0.2">
      <c r="A1226" s="2"/>
      <c r="B1226" s="2"/>
      <c r="C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</row>
    <row r="1227" spans="1:48" ht="12.75" x14ac:dyDescent="0.2">
      <c r="A1227" s="2"/>
      <c r="B1227" s="2"/>
      <c r="C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</row>
    <row r="1228" spans="1:48" ht="12.75" x14ac:dyDescent="0.2">
      <c r="A1228" s="2"/>
      <c r="B1228" s="2"/>
      <c r="C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</row>
    <row r="1229" spans="1:48" ht="12.75" x14ac:dyDescent="0.2">
      <c r="A1229" s="2"/>
      <c r="B1229" s="2"/>
      <c r="C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</row>
    <row r="1230" spans="1:48" ht="12.75" x14ac:dyDescent="0.2">
      <c r="A1230" s="2"/>
      <c r="B1230" s="2"/>
      <c r="C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</row>
    <row r="1231" spans="1:48" ht="12.75" x14ac:dyDescent="0.2">
      <c r="A1231" s="2"/>
      <c r="B1231" s="2"/>
      <c r="C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</row>
    <row r="1232" spans="1:48" ht="12.75" x14ac:dyDescent="0.2">
      <c r="A1232" s="2"/>
      <c r="B1232" s="2"/>
      <c r="C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</row>
    <row r="1233" spans="1:48" ht="12.75" x14ac:dyDescent="0.2">
      <c r="A1233" s="2"/>
      <c r="B1233" s="2"/>
      <c r="C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</row>
    <row r="1234" spans="1:48" ht="12.75" x14ac:dyDescent="0.2">
      <c r="A1234" s="2"/>
      <c r="B1234" s="2"/>
      <c r="C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</row>
    <row r="1235" spans="1:48" ht="12.75" x14ac:dyDescent="0.2">
      <c r="A1235" s="2"/>
      <c r="B1235" s="2"/>
      <c r="C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</row>
    <row r="1236" spans="1:48" ht="12.75" x14ac:dyDescent="0.2">
      <c r="A1236" s="2"/>
      <c r="B1236" s="2"/>
      <c r="C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</row>
    <row r="1237" spans="1:48" ht="12.75" x14ac:dyDescent="0.2">
      <c r="A1237" s="2"/>
      <c r="B1237" s="2"/>
      <c r="C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</row>
    <row r="1238" spans="1:48" ht="12.75" x14ac:dyDescent="0.2">
      <c r="A1238" s="2"/>
      <c r="B1238" s="2"/>
      <c r="C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</row>
    <row r="1239" spans="1:48" ht="12.75" x14ac:dyDescent="0.2">
      <c r="A1239" s="2"/>
      <c r="B1239" s="2"/>
      <c r="C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</row>
    <row r="1240" spans="1:48" ht="12.75" x14ac:dyDescent="0.2">
      <c r="A1240" s="2"/>
      <c r="B1240" s="2"/>
      <c r="C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</row>
    <row r="1241" spans="1:48" ht="12.75" x14ac:dyDescent="0.2">
      <c r="A1241" s="2"/>
      <c r="B1241" s="2"/>
      <c r="C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</row>
    <row r="1242" spans="1:48" ht="12.75" x14ac:dyDescent="0.2">
      <c r="A1242" s="2"/>
      <c r="B1242" s="2"/>
      <c r="C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</row>
    <row r="1243" spans="1:48" ht="12.75" x14ac:dyDescent="0.2">
      <c r="A1243" s="2"/>
      <c r="B1243" s="2"/>
      <c r="C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</row>
    <row r="1244" spans="1:48" ht="12.75" x14ac:dyDescent="0.2">
      <c r="A1244" s="2"/>
      <c r="B1244" s="2"/>
      <c r="C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</row>
    <row r="1245" spans="1:48" ht="12.75" x14ac:dyDescent="0.2">
      <c r="A1245" s="2"/>
      <c r="B1245" s="2"/>
      <c r="C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</row>
    <row r="1246" spans="1:48" ht="12.75" x14ac:dyDescent="0.2">
      <c r="A1246" s="2"/>
      <c r="B1246" s="2"/>
      <c r="C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</row>
    <row r="1247" spans="1:48" ht="12.75" x14ac:dyDescent="0.2">
      <c r="A1247" s="2"/>
      <c r="B1247" s="2"/>
      <c r="C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</row>
    <row r="1248" spans="1:48" ht="12.75" x14ac:dyDescent="0.2">
      <c r="A1248" s="2"/>
      <c r="B1248" s="2"/>
      <c r="C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</row>
    <row r="1249" spans="1:48" ht="12.75" x14ac:dyDescent="0.2">
      <c r="A1249" s="2"/>
      <c r="B1249" s="2"/>
      <c r="C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</row>
    <row r="1250" spans="1:48" ht="12.75" x14ac:dyDescent="0.2">
      <c r="A1250" s="2"/>
      <c r="B1250" s="2"/>
      <c r="C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</row>
    <row r="1251" spans="1:48" ht="12.75" x14ac:dyDescent="0.2">
      <c r="A1251" s="2"/>
      <c r="B1251" s="2"/>
      <c r="C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</row>
    <row r="1252" spans="1:48" ht="12.75" x14ac:dyDescent="0.2">
      <c r="A1252" s="2"/>
      <c r="B1252" s="2"/>
      <c r="C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</row>
    <row r="1253" spans="1:48" ht="12.75" x14ac:dyDescent="0.2">
      <c r="A1253" s="2"/>
      <c r="B1253" s="2"/>
      <c r="C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</row>
    <row r="1254" spans="1:48" ht="12.75" x14ac:dyDescent="0.2">
      <c r="A1254" s="2"/>
      <c r="B1254" s="2"/>
      <c r="C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</row>
    <row r="1255" spans="1:48" ht="12.75" x14ac:dyDescent="0.2">
      <c r="A1255" s="2"/>
      <c r="B1255" s="2"/>
      <c r="C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</row>
    <row r="1256" spans="1:48" ht="12.75" x14ac:dyDescent="0.2">
      <c r="A1256" s="2"/>
      <c r="B1256" s="2"/>
      <c r="C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</row>
    <row r="1257" spans="1:48" ht="12.75" x14ac:dyDescent="0.2">
      <c r="A1257" s="2"/>
      <c r="B1257" s="2"/>
      <c r="C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</row>
    <row r="1258" spans="1:48" ht="12.75" x14ac:dyDescent="0.2">
      <c r="A1258" s="2"/>
      <c r="B1258" s="2"/>
      <c r="C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</row>
    <row r="1259" spans="1:48" ht="12.75" x14ac:dyDescent="0.2">
      <c r="A1259" s="2"/>
      <c r="B1259" s="2"/>
      <c r="C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</row>
    <row r="1260" spans="1:48" ht="12.75" x14ac:dyDescent="0.2">
      <c r="A1260" s="2"/>
      <c r="B1260" s="2"/>
      <c r="C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</row>
    <row r="1261" spans="1:48" ht="12.75" x14ac:dyDescent="0.2">
      <c r="A1261" s="2"/>
      <c r="B1261" s="2"/>
      <c r="C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</row>
    <row r="1262" spans="1:48" ht="12.75" x14ac:dyDescent="0.2">
      <c r="A1262" s="2"/>
      <c r="B1262" s="2"/>
      <c r="C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</row>
    <row r="1263" spans="1:48" ht="12.75" x14ac:dyDescent="0.2">
      <c r="A1263" s="2"/>
      <c r="B1263" s="2"/>
      <c r="C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</row>
    <row r="1264" spans="1:48" ht="12.75" x14ac:dyDescent="0.2">
      <c r="A1264" s="2"/>
      <c r="B1264" s="2"/>
      <c r="C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</row>
    <row r="1265" spans="1:48" ht="12.75" x14ac:dyDescent="0.2">
      <c r="A1265" s="2"/>
      <c r="B1265" s="2"/>
      <c r="C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</row>
    <row r="1266" spans="1:48" ht="12.75" x14ac:dyDescent="0.2">
      <c r="A1266" s="2"/>
      <c r="B1266" s="2"/>
      <c r="C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</row>
    <row r="1267" spans="1:48" ht="12.75" x14ac:dyDescent="0.2">
      <c r="A1267" s="2"/>
      <c r="B1267" s="2"/>
      <c r="C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</row>
    <row r="1268" spans="1:48" ht="12.75" x14ac:dyDescent="0.2">
      <c r="A1268" s="2"/>
      <c r="B1268" s="2"/>
      <c r="C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</row>
    <row r="1269" spans="1:48" ht="12.75" x14ac:dyDescent="0.2">
      <c r="A1269" s="2"/>
      <c r="B1269" s="2"/>
      <c r="C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</row>
    <row r="1270" spans="1:48" ht="12.75" x14ac:dyDescent="0.2">
      <c r="A1270" s="2"/>
      <c r="B1270" s="2"/>
      <c r="C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</row>
    <row r="1271" spans="1:48" ht="12.75" x14ac:dyDescent="0.2">
      <c r="A1271" s="2"/>
      <c r="B1271" s="2"/>
      <c r="C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</row>
    <row r="1272" spans="1:48" ht="12.75" x14ac:dyDescent="0.2">
      <c r="A1272" s="2"/>
      <c r="B1272" s="2"/>
      <c r="C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</row>
    <row r="1273" spans="1:48" ht="12.75" x14ac:dyDescent="0.2">
      <c r="A1273" s="2"/>
      <c r="B1273" s="2"/>
      <c r="C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</row>
    <row r="1274" spans="1:48" ht="12.75" x14ac:dyDescent="0.2">
      <c r="A1274" s="2"/>
      <c r="B1274" s="2"/>
      <c r="C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</row>
    <row r="1275" spans="1:48" ht="12.75" x14ac:dyDescent="0.2">
      <c r="A1275" s="2"/>
      <c r="B1275" s="2"/>
      <c r="C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</row>
    <row r="1276" spans="1:48" ht="12.75" x14ac:dyDescent="0.2">
      <c r="A1276" s="2"/>
      <c r="B1276" s="2"/>
      <c r="C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</row>
    <row r="1277" spans="1:48" ht="12.75" x14ac:dyDescent="0.2">
      <c r="A1277" s="2"/>
      <c r="B1277" s="2"/>
      <c r="C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</row>
    <row r="1278" spans="1:48" ht="12.75" x14ac:dyDescent="0.2">
      <c r="A1278" s="2"/>
      <c r="B1278" s="2"/>
      <c r="C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</row>
    <row r="1279" spans="1:48" ht="12.75" x14ac:dyDescent="0.2">
      <c r="A1279" s="2"/>
      <c r="B1279" s="2"/>
      <c r="C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</row>
    <row r="1280" spans="1:48" ht="12.75" x14ac:dyDescent="0.2">
      <c r="A1280" s="2"/>
      <c r="B1280" s="2"/>
      <c r="C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</row>
    <row r="1281" spans="1:48" ht="12.75" x14ac:dyDescent="0.2">
      <c r="A1281" s="2"/>
      <c r="B1281" s="2"/>
      <c r="C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</row>
    <row r="1282" spans="1:48" ht="12.75" x14ac:dyDescent="0.2">
      <c r="A1282" s="2"/>
      <c r="B1282" s="2"/>
      <c r="C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</row>
    <row r="1283" spans="1:48" ht="12.75" x14ac:dyDescent="0.2">
      <c r="A1283" s="2"/>
      <c r="B1283" s="2"/>
      <c r="C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</row>
    <row r="1284" spans="1:48" ht="12.75" x14ac:dyDescent="0.2">
      <c r="A1284" s="2"/>
      <c r="B1284" s="2"/>
      <c r="C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</row>
    <row r="1285" spans="1:48" ht="12.75" x14ac:dyDescent="0.2">
      <c r="A1285" s="2"/>
      <c r="B1285" s="2"/>
      <c r="C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</row>
    <row r="1286" spans="1:48" ht="12.75" x14ac:dyDescent="0.2">
      <c r="A1286" s="2"/>
      <c r="B1286" s="2"/>
      <c r="C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</row>
    <row r="1287" spans="1:48" ht="12.75" x14ac:dyDescent="0.2">
      <c r="A1287" s="2"/>
      <c r="B1287" s="2"/>
      <c r="C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</row>
    <row r="1288" spans="1:48" ht="12.75" x14ac:dyDescent="0.2">
      <c r="A1288" s="2"/>
      <c r="B1288" s="2"/>
      <c r="C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</row>
    <row r="1289" spans="1:48" ht="12.75" x14ac:dyDescent="0.2">
      <c r="A1289" s="2"/>
      <c r="B1289" s="2"/>
      <c r="C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</row>
    <row r="1290" spans="1:48" ht="12.75" x14ac:dyDescent="0.2">
      <c r="A1290" s="2"/>
      <c r="B1290" s="2"/>
      <c r="C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</row>
    <row r="1291" spans="1:48" ht="12.75" x14ac:dyDescent="0.2">
      <c r="A1291" s="2"/>
      <c r="B1291" s="2"/>
      <c r="C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</row>
    <row r="1292" spans="1:48" ht="12.75" x14ac:dyDescent="0.2">
      <c r="A1292" s="2"/>
      <c r="B1292" s="2"/>
      <c r="C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</row>
    <row r="1293" spans="1:48" ht="12.75" x14ac:dyDescent="0.2">
      <c r="A1293" s="2"/>
      <c r="B1293" s="2"/>
      <c r="C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</row>
    <row r="1294" spans="1:48" ht="12.75" x14ac:dyDescent="0.2">
      <c r="A1294" s="2"/>
      <c r="B1294" s="2"/>
      <c r="C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</row>
    <row r="1295" spans="1:48" ht="12.75" x14ac:dyDescent="0.2">
      <c r="A1295" s="2"/>
      <c r="B1295" s="2"/>
      <c r="C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</row>
    <row r="1296" spans="1:48" ht="12.75" x14ac:dyDescent="0.2">
      <c r="A1296" s="2"/>
      <c r="B1296" s="2"/>
      <c r="C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</row>
    <row r="1297" spans="1:48" ht="12.75" x14ac:dyDescent="0.2">
      <c r="A1297" s="2"/>
      <c r="B1297" s="2"/>
      <c r="C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</row>
    <row r="1298" spans="1:48" ht="12.75" x14ac:dyDescent="0.2">
      <c r="A1298" s="2"/>
      <c r="B1298" s="2"/>
      <c r="C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</row>
    <row r="1299" spans="1:48" ht="12.75" x14ac:dyDescent="0.2">
      <c r="A1299" s="2"/>
      <c r="B1299" s="2"/>
      <c r="C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</row>
    <row r="1300" spans="1:48" ht="12.75" x14ac:dyDescent="0.2">
      <c r="A1300" s="2"/>
      <c r="B1300" s="2"/>
      <c r="C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</row>
    <row r="1301" spans="1:48" ht="12.75" x14ac:dyDescent="0.2">
      <c r="A1301" s="2"/>
      <c r="B1301" s="2"/>
      <c r="C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</row>
    <row r="1302" spans="1:48" ht="12.75" x14ac:dyDescent="0.2">
      <c r="A1302" s="2"/>
      <c r="B1302" s="2"/>
      <c r="C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</row>
    <row r="1303" spans="1:48" ht="12.75" x14ac:dyDescent="0.2">
      <c r="A1303" s="2"/>
      <c r="B1303" s="2"/>
      <c r="C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</row>
    <row r="1304" spans="1:48" ht="12.75" x14ac:dyDescent="0.2">
      <c r="A1304" s="2"/>
      <c r="B1304" s="2"/>
      <c r="C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</row>
    <row r="1305" spans="1:48" ht="12.75" x14ac:dyDescent="0.2">
      <c r="A1305" s="2"/>
      <c r="B1305" s="2"/>
      <c r="C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</row>
    <row r="1306" spans="1:48" ht="12.75" x14ac:dyDescent="0.2">
      <c r="A1306" s="2"/>
      <c r="B1306" s="2"/>
      <c r="C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</row>
    <row r="1307" spans="1:48" ht="12.75" x14ac:dyDescent="0.2">
      <c r="A1307" s="2"/>
      <c r="B1307" s="2"/>
      <c r="C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</row>
    <row r="1308" spans="1:48" ht="12.75" x14ac:dyDescent="0.2">
      <c r="A1308" s="2"/>
      <c r="B1308" s="2"/>
      <c r="C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</row>
    <row r="1309" spans="1:48" ht="12.75" x14ac:dyDescent="0.2">
      <c r="A1309" s="2"/>
      <c r="B1309" s="2"/>
      <c r="C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</row>
    <row r="1310" spans="1:48" ht="12.75" x14ac:dyDescent="0.2">
      <c r="A1310" s="2"/>
      <c r="B1310" s="2"/>
      <c r="C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</row>
    <row r="1311" spans="1:48" ht="12.75" x14ac:dyDescent="0.2">
      <c r="A1311" s="2"/>
      <c r="B1311" s="2"/>
      <c r="C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</row>
    <row r="1312" spans="1:48" ht="12.75" x14ac:dyDescent="0.2">
      <c r="A1312" s="2"/>
      <c r="B1312" s="2"/>
      <c r="C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</row>
    <row r="1313" spans="1:48" ht="12.75" x14ac:dyDescent="0.2">
      <c r="A1313" s="2"/>
      <c r="B1313" s="2"/>
      <c r="C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</row>
    <row r="1314" spans="1:48" ht="12.75" x14ac:dyDescent="0.2">
      <c r="A1314" s="2"/>
      <c r="B1314" s="2"/>
      <c r="C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</row>
    <row r="1315" spans="1:48" ht="12.75" x14ac:dyDescent="0.2">
      <c r="A1315" s="2"/>
      <c r="B1315" s="2"/>
      <c r="C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</row>
    <row r="1316" spans="1:48" ht="12.75" x14ac:dyDescent="0.2">
      <c r="A1316" s="2"/>
      <c r="B1316" s="2"/>
      <c r="C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</row>
    <row r="1317" spans="1:48" ht="12.75" x14ac:dyDescent="0.2">
      <c r="A1317" s="2"/>
      <c r="B1317" s="2"/>
      <c r="C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</row>
    <row r="1318" spans="1:48" ht="12.75" x14ac:dyDescent="0.2">
      <c r="A1318" s="2"/>
      <c r="B1318" s="2"/>
      <c r="C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</row>
    <row r="1319" spans="1:48" ht="12.75" x14ac:dyDescent="0.2">
      <c r="A1319" s="2"/>
      <c r="B1319" s="2"/>
      <c r="C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</row>
    <row r="1320" spans="1:48" ht="12.75" x14ac:dyDescent="0.2">
      <c r="A1320" s="2"/>
      <c r="B1320" s="2"/>
      <c r="C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</row>
    <row r="1321" spans="1:48" ht="12.75" x14ac:dyDescent="0.2">
      <c r="A1321" s="2"/>
      <c r="B1321" s="2"/>
      <c r="C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</row>
    <row r="1322" spans="1:48" ht="12.75" x14ac:dyDescent="0.2">
      <c r="A1322" s="2"/>
      <c r="B1322" s="2"/>
      <c r="C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</row>
    <row r="1323" spans="1:48" ht="12.75" x14ac:dyDescent="0.2">
      <c r="A1323" s="2"/>
      <c r="B1323" s="2"/>
      <c r="C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</row>
    <row r="1324" spans="1:48" ht="12.75" x14ac:dyDescent="0.2">
      <c r="A1324" s="2"/>
      <c r="B1324" s="2"/>
      <c r="C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</row>
    <row r="1325" spans="1:48" ht="12.75" x14ac:dyDescent="0.2">
      <c r="A1325" s="2"/>
      <c r="B1325" s="2"/>
      <c r="C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</row>
    <row r="1326" spans="1:48" ht="12.75" x14ac:dyDescent="0.2">
      <c r="A1326" s="2"/>
      <c r="B1326" s="2"/>
      <c r="C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</row>
    <row r="1327" spans="1:48" ht="12.75" x14ac:dyDescent="0.2">
      <c r="A1327" s="2"/>
      <c r="B1327" s="2"/>
      <c r="C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</row>
    <row r="1328" spans="1:48" ht="12.75" x14ac:dyDescent="0.2">
      <c r="A1328" s="2"/>
      <c r="B1328" s="2"/>
      <c r="C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</row>
    <row r="1329" spans="1:48" ht="12.75" x14ac:dyDescent="0.2">
      <c r="A1329" s="2"/>
      <c r="B1329" s="2"/>
      <c r="C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</row>
    <row r="1330" spans="1:48" ht="12.75" x14ac:dyDescent="0.2">
      <c r="A1330" s="2"/>
      <c r="B1330" s="2"/>
      <c r="C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</row>
    <row r="1331" spans="1:48" ht="12.75" x14ac:dyDescent="0.2">
      <c r="A1331" s="2"/>
      <c r="B1331" s="2"/>
      <c r="C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</row>
    <row r="1332" spans="1:48" ht="12.75" x14ac:dyDescent="0.2">
      <c r="A1332" s="2"/>
      <c r="B1332" s="2"/>
      <c r="C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</row>
    <row r="1333" spans="1:48" ht="12.75" x14ac:dyDescent="0.2">
      <c r="A1333" s="2"/>
      <c r="B1333" s="2"/>
      <c r="C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</row>
    <row r="1334" spans="1:48" ht="12.75" x14ac:dyDescent="0.2">
      <c r="A1334" s="2"/>
      <c r="B1334" s="2"/>
      <c r="C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</row>
    <row r="1335" spans="1:48" ht="12.75" x14ac:dyDescent="0.2">
      <c r="A1335" s="2"/>
      <c r="B1335" s="2"/>
      <c r="C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</row>
    <row r="1336" spans="1:48" ht="12.75" x14ac:dyDescent="0.2">
      <c r="A1336" s="2"/>
      <c r="B1336" s="2"/>
      <c r="C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</row>
    <row r="1337" spans="1:48" ht="12.75" x14ac:dyDescent="0.2">
      <c r="A1337" s="2"/>
      <c r="B1337" s="2"/>
      <c r="C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</row>
    <row r="1338" spans="1:48" ht="12.75" x14ac:dyDescent="0.2">
      <c r="A1338" s="2"/>
      <c r="B1338" s="2"/>
      <c r="C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</row>
    <row r="1339" spans="1:48" ht="12.75" x14ac:dyDescent="0.2">
      <c r="A1339" s="2"/>
      <c r="B1339" s="2"/>
      <c r="C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</row>
    <row r="1340" spans="1:48" ht="12.75" x14ac:dyDescent="0.2">
      <c r="A1340" s="2"/>
      <c r="B1340" s="2"/>
      <c r="C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</row>
    <row r="1341" spans="1:48" ht="12.75" x14ac:dyDescent="0.2">
      <c r="A1341" s="2"/>
      <c r="B1341" s="2"/>
      <c r="C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</row>
    <row r="1342" spans="1:48" ht="12.75" x14ac:dyDescent="0.2">
      <c r="A1342" s="2"/>
      <c r="B1342" s="2"/>
      <c r="C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</row>
    <row r="1343" spans="1:48" ht="12.75" x14ac:dyDescent="0.2">
      <c r="A1343" s="2"/>
      <c r="B1343" s="2"/>
      <c r="C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</row>
    <row r="1344" spans="1:48" ht="12.75" x14ac:dyDescent="0.2">
      <c r="A1344" s="2"/>
      <c r="B1344" s="2"/>
      <c r="C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</row>
    <row r="1345" spans="1:48" ht="12.75" x14ac:dyDescent="0.2">
      <c r="A1345" s="2"/>
      <c r="B1345" s="2"/>
      <c r="C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</row>
    <row r="1346" spans="1:48" ht="12.75" x14ac:dyDescent="0.2">
      <c r="A1346" s="2"/>
      <c r="B1346" s="2"/>
      <c r="C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</row>
    <row r="1347" spans="1:48" ht="12.75" x14ac:dyDescent="0.2">
      <c r="A1347" s="2"/>
      <c r="B1347" s="2"/>
      <c r="C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</row>
    <row r="1348" spans="1:48" ht="12.75" x14ac:dyDescent="0.2">
      <c r="A1348" s="2"/>
      <c r="B1348" s="2"/>
      <c r="C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</row>
    <row r="1349" spans="1:48" ht="12.75" x14ac:dyDescent="0.2">
      <c r="A1349" s="2"/>
      <c r="B1349" s="2"/>
      <c r="C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</row>
    <row r="1350" spans="1:48" ht="12.75" x14ac:dyDescent="0.2">
      <c r="A1350" s="2"/>
      <c r="B1350" s="2"/>
      <c r="C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</row>
    <row r="1351" spans="1:48" ht="12.75" x14ac:dyDescent="0.2">
      <c r="A1351" s="2"/>
      <c r="B1351" s="2"/>
      <c r="C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</row>
    <row r="1352" spans="1:48" ht="12.75" x14ac:dyDescent="0.2">
      <c r="A1352" s="2"/>
      <c r="B1352" s="2"/>
      <c r="C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</row>
    <row r="1353" spans="1:48" ht="12.75" x14ac:dyDescent="0.2">
      <c r="A1353" s="2"/>
      <c r="B1353" s="2"/>
      <c r="C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</row>
    <row r="1354" spans="1:48" ht="12.75" x14ac:dyDescent="0.2">
      <c r="A1354" s="2"/>
      <c r="B1354" s="2"/>
      <c r="C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</row>
    <row r="1355" spans="1:48" ht="12.75" x14ac:dyDescent="0.2">
      <c r="A1355" s="2"/>
      <c r="B1355" s="2"/>
      <c r="C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</row>
    <row r="1356" spans="1:48" ht="12.75" x14ac:dyDescent="0.2">
      <c r="A1356" s="2"/>
      <c r="B1356" s="2"/>
      <c r="C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</row>
    <row r="1357" spans="1:48" ht="12.75" x14ac:dyDescent="0.2">
      <c r="A1357" s="2"/>
      <c r="B1357" s="2"/>
      <c r="C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</row>
    <row r="1358" spans="1:48" ht="12.75" x14ac:dyDescent="0.2">
      <c r="A1358" s="2"/>
      <c r="B1358" s="2"/>
      <c r="C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</row>
    <row r="1359" spans="1:48" ht="12.75" x14ac:dyDescent="0.2">
      <c r="A1359" s="2"/>
      <c r="B1359" s="2"/>
      <c r="C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</row>
    <row r="1360" spans="1:48" ht="12.75" x14ac:dyDescent="0.2">
      <c r="A1360" s="2"/>
      <c r="B1360" s="2"/>
      <c r="C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</row>
    <row r="1361" spans="1:48" ht="12.75" x14ac:dyDescent="0.2">
      <c r="A1361" s="2"/>
      <c r="B1361" s="2"/>
      <c r="C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</row>
    <row r="1362" spans="1:48" ht="12.75" x14ac:dyDescent="0.2">
      <c r="A1362" s="2"/>
      <c r="B1362" s="2"/>
      <c r="C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</row>
    <row r="1363" spans="1:48" ht="12.75" x14ac:dyDescent="0.2">
      <c r="A1363" s="2"/>
      <c r="B1363" s="2"/>
      <c r="C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</row>
    <row r="1364" spans="1:48" ht="12.75" x14ac:dyDescent="0.2">
      <c r="A1364" s="2"/>
      <c r="B1364" s="2"/>
      <c r="C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</row>
    <row r="1365" spans="1:48" ht="12.75" x14ac:dyDescent="0.2">
      <c r="A1365" s="2"/>
      <c r="B1365" s="2"/>
      <c r="C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</row>
    <row r="1366" spans="1:48" ht="12.75" x14ac:dyDescent="0.2">
      <c r="A1366" s="2"/>
      <c r="B1366" s="2"/>
      <c r="C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</row>
    <row r="1367" spans="1:48" ht="12.75" x14ac:dyDescent="0.2">
      <c r="A1367" s="2"/>
      <c r="B1367" s="2"/>
      <c r="C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</row>
    <row r="1368" spans="1:48" ht="12.75" x14ac:dyDescent="0.2">
      <c r="A1368" s="2"/>
      <c r="B1368" s="2"/>
      <c r="C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</row>
    <row r="1369" spans="1:48" ht="12.75" x14ac:dyDescent="0.2">
      <c r="A1369" s="2"/>
      <c r="B1369" s="2"/>
      <c r="C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</row>
    <row r="1370" spans="1:48" ht="12.75" x14ac:dyDescent="0.2">
      <c r="A1370" s="2"/>
      <c r="B1370" s="2"/>
      <c r="C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</row>
    <row r="1371" spans="1:48" ht="12.75" x14ac:dyDescent="0.2">
      <c r="A1371" s="2"/>
      <c r="B1371" s="2"/>
      <c r="C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</row>
    <row r="1372" spans="1:48" ht="12.75" x14ac:dyDescent="0.2">
      <c r="A1372" s="2"/>
      <c r="B1372" s="2"/>
      <c r="C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</row>
    <row r="1373" spans="1:48" ht="12.75" x14ac:dyDescent="0.2">
      <c r="A1373" s="2"/>
      <c r="B1373" s="2"/>
      <c r="C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</row>
    <row r="1374" spans="1:48" ht="12.75" x14ac:dyDescent="0.2">
      <c r="A1374" s="2"/>
      <c r="B1374" s="2"/>
      <c r="C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</row>
    <row r="1375" spans="1:48" ht="12.75" x14ac:dyDescent="0.2">
      <c r="A1375" s="2"/>
      <c r="B1375" s="2"/>
      <c r="C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</row>
    <row r="1376" spans="1:48" ht="12.75" x14ac:dyDescent="0.2">
      <c r="A1376" s="2"/>
      <c r="B1376" s="2"/>
      <c r="C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</row>
    <row r="1377" spans="1:48" ht="12.75" x14ac:dyDescent="0.2">
      <c r="A1377" s="2"/>
      <c r="B1377" s="2"/>
      <c r="C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</row>
    <row r="1378" spans="1:48" ht="12.75" x14ac:dyDescent="0.2">
      <c r="A1378" s="2"/>
      <c r="B1378" s="2"/>
      <c r="C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</row>
    <row r="1379" spans="1:48" ht="12.75" x14ac:dyDescent="0.2">
      <c r="A1379" s="2"/>
      <c r="B1379" s="2"/>
      <c r="C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</row>
    <row r="1380" spans="1:48" ht="12.75" x14ac:dyDescent="0.2">
      <c r="A1380" s="2"/>
      <c r="B1380" s="2"/>
      <c r="C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</row>
    <row r="1381" spans="1:48" ht="12.75" x14ac:dyDescent="0.2">
      <c r="A1381" s="2"/>
      <c r="B1381" s="2"/>
      <c r="C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</row>
    <row r="1382" spans="1:48" ht="12.75" x14ac:dyDescent="0.2">
      <c r="A1382" s="2"/>
      <c r="B1382" s="2"/>
      <c r="C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</row>
    <row r="1383" spans="1:48" ht="12.75" x14ac:dyDescent="0.2">
      <c r="A1383" s="2"/>
      <c r="B1383" s="2"/>
      <c r="C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</row>
    <row r="1384" spans="1:48" ht="12.75" x14ac:dyDescent="0.2">
      <c r="A1384" s="2"/>
      <c r="B1384" s="2"/>
      <c r="C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</row>
    <row r="1385" spans="1:48" ht="12.75" x14ac:dyDescent="0.2">
      <c r="A1385" s="2"/>
      <c r="B1385" s="2"/>
      <c r="C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</row>
    <row r="1386" spans="1:48" ht="12.75" x14ac:dyDescent="0.2">
      <c r="A1386" s="2"/>
      <c r="B1386" s="2"/>
      <c r="C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</row>
    <row r="1387" spans="1:48" ht="12.75" x14ac:dyDescent="0.2">
      <c r="A1387" s="2"/>
      <c r="B1387" s="2"/>
      <c r="C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</row>
    <row r="1388" spans="1:48" ht="12.75" x14ac:dyDescent="0.2">
      <c r="A1388" s="2"/>
      <c r="B1388" s="2"/>
      <c r="C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</row>
    <row r="1389" spans="1:48" ht="12.75" x14ac:dyDescent="0.2">
      <c r="A1389" s="2"/>
      <c r="B1389" s="2"/>
      <c r="C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</row>
    <row r="1390" spans="1:48" ht="12.75" x14ac:dyDescent="0.2">
      <c r="A1390" s="2"/>
      <c r="B1390" s="2"/>
      <c r="C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</row>
    <row r="1391" spans="1:48" ht="12.75" x14ac:dyDescent="0.2">
      <c r="A1391" s="2"/>
      <c r="B1391" s="2"/>
      <c r="C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</row>
    <row r="1392" spans="1:48" ht="12.75" x14ac:dyDescent="0.2">
      <c r="A1392" s="2"/>
      <c r="B1392" s="2"/>
      <c r="C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</row>
    <row r="1393" spans="1:48" ht="12.75" x14ac:dyDescent="0.2">
      <c r="A1393" s="2"/>
      <c r="B1393" s="2"/>
      <c r="C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</row>
    <row r="1394" spans="1:48" ht="12.75" x14ac:dyDescent="0.2">
      <c r="A1394" s="2"/>
      <c r="B1394" s="2"/>
      <c r="C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</row>
    <row r="1395" spans="1:48" ht="12.75" x14ac:dyDescent="0.2">
      <c r="A1395" s="2"/>
      <c r="B1395" s="2"/>
      <c r="C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</row>
    <row r="1396" spans="1:48" ht="12.75" x14ac:dyDescent="0.2">
      <c r="A1396" s="2"/>
      <c r="B1396" s="2"/>
      <c r="C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</row>
    <row r="1397" spans="1:48" ht="12.75" x14ac:dyDescent="0.2">
      <c r="A1397" s="2"/>
      <c r="B1397" s="2"/>
      <c r="C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</row>
    <row r="1398" spans="1:48" ht="12.75" x14ac:dyDescent="0.2">
      <c r="A1398" s="2"/>
      <c r="B1398" s="2"/>
      <c r="C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</row>
    <row r="1399" spans="1:48" ht="12.75" x14ac:dyDescent="0.2">
      <c r="A1399" s="2"/>
      <c r="B1399" s="2"/>
      <c r="C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</row>
    <row r="1400" spans="1:48" ht="12.75" x14ac:dyDescent="0.2">
      <c r="A1400" s="2"/>
      <c r="B1400" s="2"/>
      <c r="C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</row>
    <row r="1401" spans="1:48" ht="12.75" x14ac:dyDescent="0.2">
      <c r="A1401" s="2"/>
      <c r="B1401" s="2"/>
      <c r="C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</row>
    <row r="1402" spans="1:48" ht="12.75" x14ac:dyDescent="0.2">
      <c r="A1402" s="2"/>
      <c r="B1402" s="2"/>
      <c r="C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</row>
    <row r="1403" spans="1:48" ht="12.75" x14ac:dyDescent="0.2">
      <c r="A1403" s="2"/>
      <c r="B1403" s="2"/>
      <c r="C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</row>
    <row r="1404" spans="1:48" ht="12.75" x14ac:dyDescent="0.2">
      <c r="A1404" s="2"/>
      <c r="B1404" s="2"/>
      <c r="C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</row>
    <row r="1405" spans="1:48" ht="12.75" x14ac:dyDescent="0.2">
      <c r="A1405" s="2"/>
      <c r="B1405" s="2"/>
      <c r="C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</row>
    <row r="1406" spans="1:48" ht="12.75" x14ac:dyDescent="0.2">
      <c r="A1406" s="2"/>
      <c r="B1406" s="2"/>
      <c r="C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</row>
    <row r="1407" spans="1:48" ht="12.75" x14ac:dyDescent="0.2">
      <c r="A1407" s="2"/>
      <c r="B1407" s="2"/>
      <c r="C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</row>
    <row r="1408" spans="1:48" ht="12.75" x14ac:dyDescent="0.2">
      <c r="A1408" s="2"/>
      <c r="B1408" s="2"/>
      <c r="C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</row>
    <row r="1409" spans="1:48" ht="12.75" x14ac:dyDescent="0.2">
      <c r="A1409" s="2"/>
      <c r="B1409" s="2"/>
      <c r="C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</row>
    <row r="1410" spans="1:48" ht="12.75" x14ac:dyDescent="0.2">
      <c r="A1410" s="2"/>
      <c r="B1410" s="2"/>
      <c r="C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</row>
    <row r="1411" spans="1:48" ht="12.75" x14ac:dyDescent="0.2">
      <c r="A1411" s="2"/>
      <c r="B1411" s="2"/>
      <c r="C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</row>
    <row r="1412" spans="1:48" ht="12.75" x14ac:dyDescent="0.2">
      <c r="A1412" s="2"/>
      <c r="B1412" s="2"/>
      <c r="C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</row>
    <row r="1413" spans="1:48" ht="12.75" x14ac:dyDescent="0.2">
      <c r="A1413" s="2"/>
      <c r="B1413" s="2"/>
      <c r="C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</row>
    <row r="1414" spans="1:48" ht="12.75" x14ac:dyDescent="0.2">
      <c r="A1414" s="2"/>
      <c r="B1414" s="2"/>
      <c r="C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</row>
    <row r="1415" spans="1:48" ht="12.75" x14ac:dyDescent="0.2">
      <c r="A1415" s="2"/>
      <c r="B1415" s="2"/>
      <c r="C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</row>
    <row r="1416" spans="1:48" ht="12.75" x14ac:dyDescent="0.2">
      <c r="A1416" s="2"/>
      <c r="B1416" s="2"/>
      <c r="C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</row>
    <row r="1417" spans="1:48" ht="12.75" x14ac:dyDescent="0.2">
      <c r="A1417" s="2"/>
      <c r="B1417" s="2"/>
      <c r="C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</row>
    <row r="1418" spans="1:48" ht="12.75" x14ac:dyDescent="0.2">
      <c r="A1418" s="2"/>
      <c r="B1418" s="2"/>
      <c r="C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</row>
    <row r="1419" spans="1:48" ht="12.75" x14ac:dyDescent="0.2">
      <c r="A1419" s="2"/>
      <c r="B1419" s="2"/>
      <c r="C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</row>
    <row r="1420" spans="1:48" ht="12.75" x14ac:dyDescent="0.2">
      <c r="A1420" s="2"/>
      <c r="B1420" s="2"/>
      <c r="C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</row>
    <row r="1421" spans="1:48" ht="12.75" x14ac:dyDescent="0.2">
      <c r="A1421" s="2"/>
      <c r="B1421" s="2"/>
      <c r="C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</row>
    <row r="1422" spans="1:48" ht="12.75" x14ac:dyDescent="0.2">
      <c r="A1422" s="2"/>
      <c r="B1422" s="2"/>
      <c r="C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</row>
    <row r="1423" spans="1:48" ht="12.75" x14ac:dyDescent="0.2">
      <c r="A1423" s="2"/>
      <c r="B1423" s="2"/>
      <c r="C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</row>
    <row r="1424" spans="1:48" ht="12.75" x14ac:dyDescent="0.2">
      <c r="A1424" s="2"/>
      <c r="B1424" s="2"/>
      <c r="C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</row>
    <row r="1425" spans="1:48" ht="12.75" x14ac:dyDescent="0.2">
      <c r="A1425" s="2"/>
      <c r="B1425" s="2"/>
      <c r="C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</row>
    <row r="1426" spans="1:48" ht="12.75" x14ac:dyDescent="0.2">
      <c r="A1426" s="2"/>
      <c r="B1426" s="2"/>
      <c r="C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</row>
    <row r="1427" spans="1:48" ht="12.75" x14ac:dyDescent="0.2">
      <c r="A1427" s="2"/>
      <c r="B1427" s="2"/>
      <c r="C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</row>
    <row r="1428" spans="1:48" ht="12.75" x14ac:dyDescent="0.2">
      <c r="A1428" s="2"/>
      <c r="B1428" s="2"/>
      <c r="C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</row>
    <row r="1429" spans="1:48" ht="12.75" x14ac:dyDescent="0.2">
      <c r="A1429" s="2"/>
      <c r="B1429" s="2"/>
      <c r="C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</row>
    <row r="1430" spans="1:48" ht="12.75" x14ac:dyDescent="0.2">
      <c r="A1430" s="2"/>
      <c r="B1430" s="2"/>
      <c r="C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</row>
    <row r="1431" spans="1:48" ht="12.75" x14ac:dyDescent="0.2">
      <c r="A1431" s="2"/>
      <c r="B1431" s="2"/>
      <c r="C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</row>
    <row r="1432" spans="1:48" ht="12.75" x14ac:dyDescent="0.2">
      <c r="A1432" s="2"/>
      <c r="B1432" s="2"/>
      <c r="C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</row>
    <row r="1433" spans="1:48" ht="12.75" x14ac:dyDescent="0.2">
      <c r="A1433" s="2"/>
      <c r="B1433" s="2"/>
      <c r="C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</row>
    <row r="1434" spans="1:48" ht="12.75" x14ac:dyDescent="0.2">
      <c r="A1434" s="2"/>
      <c r="B1434" s="2"/>
      <c r="C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</row>
    <row r="1435" spans="1:48" ht="12.75" x14ac:dyDescent="0.2">
      <c r="A1435" s="2"/>
      <c r="B1435" s="2"/>
      <c r="C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</row>
    <row r="1436" spans="1:48" ht="12.75" x14ac:dyDescent="0.2">
      <c r="A1436" s="2"/>
      <c r="B1436" s="2"/>
      <c r="C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</row>
    <row r="1437" spans="1:48" ht="12.75" x14ac:dyDescent="0.2">
      <c r="A1437" s="2"/>
      <c r="B1437" s="2"/>
      <c r="C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</row>
    <row r="1438" spans="1:48" ht="12.75" x14ac:dyDescent="0.2">
      <c r="A1438" s="2"/>
      <c r="B1438" s="2"/>
      <c r="C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</row>
    <row r="1439" spans="1:48" ht="12.75" x14ac:dyDescent="0.2">
      <c r="A1439" s="2"/>
      <c r="B1439" s="2"/>
      <c r="C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</row>
    <row r="1440" spans="1:48" ht="12.75" x14ac:dyDescent="0.2">
      <c r="A1440" s="2"/>
      <c r="B1440" s="2"/>
      <c r="C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</row>
    <row r="1441" spans="1:48" ht="12.75" x14ac:dyDescent="0.2">
      <c r="A1441" s="2"/>
      <c r="B1441" s="2"/>
      <c r="C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</row>
    <row r="1442" spans="1:48" ht="12.75" x14ac:dyDescent="0.2">
      <c r="A1442" s="2"/>
      <c r="B1442" s="2"/>
      <c r="C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</row>
    <row r="1443" spans="1:48" ht="12.75" x14ac:dyDescent="0.2">
      <c r="A1443" s="2"/>
      <c r="B1443" s="2"/>
      <c r="C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</row>
    <row r="1444" spans="1:48" ht="12.75" x14ac:dyDescent="0.2">
      <c r="A1444" s="2"/>
      <c r="B1444" s="2"/>
      <c r="C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</row>
    <row r="1445" spans="1:48" ht="12.75" x14ac:dyDescent="0.2">
      <c r="A1445" s="2"/>
      <c r="B1445" s="2"/>
      <c r="C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</row>
    <row r="1446" spans="1:48" ht="12.75" x14ac:dyDescent="0.2">
      <c r="A1446" s="2"/>
      <c r="B1446" s="2"/>
      <c r="C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</row>
    <row r="1447" spans="1:48" ht="12.75" x14ac:dyDescent="0.2">
      <c r="A1447" s="2"/>
      <c r="B1447" s="2"/>
      <c r="C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</row>
    <row r="1448" spans="1:48" ht="12.75" x14ac:dyDescent="0.2">
      <c r="A1448" s="2"/>
      <c r="B1448" s="2"/>
      <c r="C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</row>
    <row r="1449" spans="1:48" ht="12.75" x14ac:dyDescent="0.2">
      <c r="A1449" s="2"/>
      <c r="B1449" s="2"/>
      <c r="C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</row>
    <row r="1450" spans="1:48" ht="12.75" x14ac:dyDescent="0.2">
      <c r="A1450" s="2"/>
      <c r="B1450" s="2"/>
      <c r="C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</row>
    <row r="1451" spans="1:48" ht="12.75" x14ac:dyDescent="0.2">
      <c r="A1451" s="2"/>
      <c r="B1451" s="2"/>
      <c r="C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</row>
    <row r="1452" spans="1:48" ht="12.75" x14ac:dyDescent="0.2">
      <c r="A1452" s="2"/>
      <c r="B1452" s="2"/>
      <c r="C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</row>
    <row r="1453" spans="1:48" ht="12.75" x14ac:dyDescent="0.2">
      <c r="A1453" s="2"/>
      <c r="B1453" s="2"/>
      <c r="C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</row>
    <row r="1454" spans="1:48" ht="12.75" x14ac:dyDescent="0.2">
      <c r="A1454" s="2"/>
      <c r="B1454" s="2"/>
      <c r="C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</row>
    <row r="1455" spans="1:48" ht="12.75" x14ac:dyDescent="0.2">
      <c r="A1455" s="2"/>
      <c r="B1455" s="2"/>
      <c r="C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</row>
    <row r="1456" spans="1:48" ht="12.75" x14ac:dyDescent="0.2">
      <c r="A1456" s="2"/>
      <c r="B1456" s="2"/>
      <c r="C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</row>
    <row r="1457" spans="1:48" ht="12.75" x14ac:dyDescent="0.2">
      <c r="A1457" s="2"/>
      <c r="B1457" s="2"/>
      <c r="C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</row>
    <row r="1458" spans="1:48" ht="12.75" x14ac:dyDescent="0.2">
      <c r="A1458" s="2"/>
      <c r="B1458" s="2"/>
      <c r="C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</row>
    <row r="1459" spans="1:48" ht="12.75" x14ac:dyDescent="0.2">
      <c r="A1459" s="2"/>
      <c r="B1459" s="2"/>
      <c r="C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</row>
    <row r="1460" spans="1:48" ht="12.75" x14ac:dyDescent="0.2">
      <c r="A1460" s="2"/>
      <c r="B1460" s="2"/>
      <c r="C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</row>
    <row r="1461" spans="1:48" ht="12.75" x14ac:dyDescent="0.2">
      <c r="A1461" s="2"/>
      <c r="B1461" s="2"/>
      <c r="C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</row>
    <row r="1462" spans="1:48" ht="12.75" x14ac:dyDescent="0.2">
      <c r="A1462" s="2"/>
      <c r="B1462" s="2"/>
      <c r="C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</row>
    <row r="1463" spans="1:48" ht="12.75" x14ac:dyDescent="0.2">
      <c r="A1463" s="2"/>
      <c r="B1463" s="2"/>
      <c r="C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</row>
    <row r="1464" spans="1:48" ht="12.75" x14ac:dyDescent="0.2">
      <c r="A1464" s="2"/>
      <c r="B1464" s="2"/>
      <c r="C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</row>
    <row r="1465" spans="1:48" ht="12.75" x14ac:dyDescent="0.2">
      <c r="A1465" s="2"/>
      <c r="B1465" s="2"/>
      <c r="C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</row>
    <row r="1466" spans="1:48" ht="12.75" x14ac:dyDescent="0.2">
      <c r="A1466" s="2"/>
      <c r="B1466" s="2"/>
      <c r="C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</row>
    <row r="1467" spans="1:48" ht="12.75" x14ac:dyDescent="0.2">
      <c r="A1467" s="2"/>
      <c r="B1467" s="2"/>
      <c r="C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</row>
    <row r="1468" spans="1:48" ht="12.75" x14ac:dyDescent="0.2">
      <c r="A1468" s="2"/>
      <c r="B1468" s="2"/>
      <c r="C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</row>
    <row r="1469" spans="1:48" ht="12.75" x14ac:dyDescent="0.2">
      <c r="A1469" s="2"/>
      <c r="B1469" s="2"/>
      <c r="C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</row>
    <row r="1470" spans="1:48" ht="12.75" x14ac:dyDescent="0.2">
      <c r="A1470" s="2"/>
      <c r="B1470" s="2"/>
      <c r="C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</row>
    <row r="1471" spans="1:48" ht="12.75" x14ac:dyDescent="0.2">
      <c r="A1471" s="2"/>
      <c r="B1471" s="2"/>
      <c r="C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</row>
    <row r="1472" spans="1:48" ht="12.75" x14ac:dyDescent="0.2">
      <c r="A1472" s="2"/>
      <c r="B1472" s="2"/>
      <c r="C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</row>
    <row r="1473" spans="1:48" ht="12.75" x14ac:dyDescent="0.2">
      <c r="A1473" s="2"/>
      <c r="B1473" s="2"/>
      <c r="C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</row>
    <row r="1474" spans="1:48" ht="12.75" x14ac:dyDescent="0.2">
      <c r="A1474" s="2"/>
      <c r="B1474" s="2"/>
      <c r="C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</row>
    <row r="1475" spans="1:48" ht="12.75" x14ac:dyDescent="0.2">
      <c r="A1475" s="2"/>
      <c r="B1475" s="2"/>
      <c r="C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</row>
    <row r="1476" spans="1:48" ht="12.75" x14ac:dyDescent="0.2">
      <c r="A1476" s="2"/>
      <c r="B1476" s="2"/>
      <c r="C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</row>
    <row r="1477" spans="1:48" ht="12.75" x14ac:dyDescent="0.2">
      <c r="A1477" s="2"/>
      <c r="B1477" s="2"/>
      <c r="C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</row>
    <row r="1478" spans="1:48" ht="12.75" x14ac:dyDescent="0.2">
      <c r="A1478" s="2"/>
      <c r="B1478" s="2"/>
      <c r="C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</row>
    <row r="1479" spans="1:48" ht="12.75" x14ac:dyDescent="0.2">
      <c r="A1479" s="2"/>
      <c r="B1479" s="2"/>
      <c r="C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</row>
    <row r="1480" spans="1:48" ht="12.75" x14ac:dyDescent="0.2">
      <c r="A1480" s="2"/>
      <c r="B1480" s="2"/>
      <c r="C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</row>
    <row r="1481" spans="1:48" ht="12.75" x14ac:dyDescent="0.2">
      <c r="A1481" s="2"/>
      <c r="B1481" s="2"/>
      <c r="C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</row>
    <row r="1482" spans="1:48" ht="12.75" x14ac:dyDescent="0.2">
      <c r="A1482" s="2"/>
      <c r="B1482" s="2"/>
      <c r="C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</row>
    <row r="1483" spans="1:48" ht="12.75" x14ac:dyDescent="0.2">
      <c r="A1483" s="2"/>
      <c r="B1483" s="2"/>
      <c r="C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</row>
    <row r="1484" spans="1:48" ht="12.75" x14ac:dyDescent="0.2">
      <c r="A1484" s="2"/>
      <c r="B1484" s="2"/>
      <c r="C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</row>
    <row r="1485" spans="1:48" ht="12.75" x14ac:dyDescent="0.2">
      <c r="A1485" s="2"/>
      <c r="B1485" s="2"/>
      <c r="C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</row>
    <row r="1486" spans="1:48" ht="12.75" x14ac:dyDescent="0.2">
      <c r="A1486" s="2"/>
      <c r="B1486" s="2"/>
      <c r="C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</row>
    <row r="1487" spans="1:48" ht="12.75" x14ac:dyDescent="0.2">
      <c r="A1487" s="2"/>
      <c r="B1487" s="2"/>
      <c r="C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</row>
    <row r="1488" spans="1:48" ht="12.75" x14ac:dyDescent="0.2">
      <c r="A1488" s="2"/>
      <c r="B1488" s="2"/>
      <c r="C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</row>
    <row r="1489" spans="1:48" ht="12.75" x14ac:dyDescent="0.2">
      <c r="A1489" s="2"/>
      <c r="B1489" s="2"/>
      <c r="C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</row>
    <row r="1490" spans="1:48" ht="12.75" x14ac:dyDescent="0.2">
      <c r="A1490" s="2"/>
      <c r="B1490" s="2"/>
      <c r="C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</row>
    <row r="1491" spans="1:48" ht="12.75" x14ac:dyDescent="0.2">
      <c r="A1491" s="2"/>
      <c r="B1491" s="2"/>
      <c r="C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</row>
    <row r="1492" spans="1:48" ht="12.75" x14ac:dyDescent="0.2">
      <c r="A1492" s="2"/>
      <c r="B1492" s="2"/>
      <c r="C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</row>
    <row r="1493" spans="1:48" ht="12.75" x14ac:dyDescent="0.2">
      <c r="A1493" s="2"/>
      <c r="B1493" s="2"/>
      <c r="C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</row>
    <row r="1494" spans="1:48" ht="12.75" x14ac:dyDescent="0.2">
      <c r="A1494" s="2"/>
      <c r="B1494" s="2"/>
      <c r="C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</row>
    <row r="1495" spans="1:48" ht="12.75" x14ac:dyDescent="0.2">
      <c r="A1495" s="2"/>
      <c r="B1495" s="2"/>
      <c r="C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</row>
    <row r="1496" spans="1:48" ht="12.75" x14ac:dyDescent="0.2">
      <c r="A1496" s="2"/>
      <c r="B1496" s="2"/>
      <c r="C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</row>
    <row r="1497" spans="1:48" ht="12.75" x14ac:dyDescent="0.2">
      <c r="A1497" s="2"/>
      <c r="B1497" s="2"/>
      <c r="C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</row>
    <row r="1498" spans="1:48" ht="12.75" x14ac:dyDescent="0.2">
      <c r="A1498" s="2"/>
      <c r="B1498" s="2"/>
      <c r="C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</row>
    <row r="1499" spans="1:48" ht="12.75" x14ac:dyDescent="0.2">
      <c r="A1499" s="2"/>
      <c r="B1499" s="2"/>
      <c r="C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</row>
    <row r="1500" spans="1:48" ht="12.75" x14ac:dyDescent="0.2">
      <c r="A1500" s="2"/>
      <c r="B1500" s="2"/>
      <c r="C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</row>
    <row r="1501" spans="1:48" ht="12.75" x14ac:dyDescent="0.2">
      <c r="A1501" s="2"/>
      <c r="B1501" s="2"/>
      <c r="C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</row>
    <row r="1502" spans="1:48" ht="12.75" x14ac:dyDescent="0.2">
      <c r="A1502" s="2"/>
      <c r="B1502" s="2"/>
      <c r="C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</row>
    <row r="1503" spans="1:48" ht="12.75" x14ac:dyDescent="0.2">
      <c r="A1503" s="2"/>
      <c r="B1503" s="2"/>
      <c r="C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</row>
    <row r="1504" spans="1:48" ht="12.75" x14ac:dyDescent="0.2">
      <c r="A1504" s="2"/>
      <c r="B1504" s="2"/>
      <c r="C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</row>
    <row r="1505" spans="1:48" ht="12.75" x14ac:dyDescent="0.2">
      <c r="A1505" s="2"/>
      <c r="B1505" s="2"/>
      <c r="C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</row>
    <row r="1506" spans="1:48" ht="12.75" x14ac:dyDescent="0.2">
      <c r="A1506" s="2"/>
      <c r="B1506" s="2"/>
      <c r="C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</row>
    <row r="1507" spans="1:48" ht="12.75" x14ac:dyDescent="0.2">
      <c r="A1507" s="2"/>
      <c r="B1507" s="2"/>
      <c r="C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</row>
    <row r="1508" spans="1:48" ht="12.75" x14ac:dyDescent="0.2">
      <c r="A1508" s="2"/>
      <c r="B1508" s="2"/>
      <c r="C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</row>
    <row r="1509" spans="1:48" ht="12.75" x14ac:dyDescent="0.2">
      <c r="A1509" s="2"/>
      <c r="B1509" s="2"/>
      <c r="C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</row>
    <row r="1510" spans="1:48" ht="12.75" x14ac:dyDescent="0.2">
      <c r="A1510" s="2"/>
      <c r="B1510" s="2"/>
      <c r="C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</row>
    <row r="1511" spans="1:48" ht="12.75" x14ac:dyDescent="0.2">
      <c r="A1511" s="2"/>
      <c r="B1511" s="2"/>
      <c r="C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</row>
    <row r="1512" spans="1:48" ht="12.75" x14ac:dyDescent="0.2">
      <c r="A1512" s="2"/>
      <c r="B1512" s="2"/>
      <c r="C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</row>
    <row r="1513" spans="1:48" ht="12.75" x14ac:dyDescent="0.2">
      <c r="A1513" s="2"/>
      <c r="B1513" s="2"/>
      <c r="C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</row>
    <row r="1514" spans="1:48" ht="12.75" x14ac:dyDescent="0.2">
      <c r="A1514" s="2"/>
      <c r="B1514" s="2"/>
      <c r="C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</row>
    <row r="1515" spans="1:48" ht="12.75" x14ac:dyDescent="0.2">
      <c r="A1515" s="2"/>
      <c r="B1515" s="2"/>
      <c r="C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</row>
    <row r="1516" spans="1:48" ht="12.75" x14ac:dyDescent="0.2">
      <c r="A1516" s="2"/>
      <c r="B1516" s="2"/>
      <c r="C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</row>
    <row r="1517" spans="1:48" ht="12.75" x14ac:dyDescent="0.2">
      <c r="A1517" s="2"/>
      <c r="B1517" s="2"/>
      <c r="C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</row>
    <row r="1518" spans="1:48" ht="12.75" x14ac:dyDescent="0.2">
      <c r="A1518" s="2"/>
      <c r="B1518" s="2"/>
      <c r="C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</row>
    <row r="1519" spans="1:48" ht="12.75" x14ac:dyDescent="0.2">
      <c r="A1519" s="2"/>
      <c r="B1519" s="2"/>
      <c r="C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</row>
    <row r="1520" spans="1:48" ht="12.75" x14ac:dyDescent="0.2">
      <c r="A1520" s="2"/>
      <c r="B1520" s="2"/>
      <c r="C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</row>
    <row r="1521" spans="1:48" ht="12.75" x14ac:dyDescent="0.2">
      <c r="A1521" s="2"/>
      <c r="B1521" s="2"/>
      <c r="C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</row>
    <row r="1522" spans="1:48" ht="12.75" x14ac:dyDescent="0.2">
      <c r="A1522" s="2"/>
      <c r="B1522" s="2"/>
      <c r="C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</row>
    <row r="1523" spans="1:48" ht="12.75" x14ac:dyDescent="0.2">
      <c r="A1523" s="2"/>
      <c r="B1523" s="2"/>
      <c r="C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</row>
    <row r="1524" spans="1:48" ht="12.75" x14ac:dyDescent="0.2">
      <c r="A1524" s="2"/>
      <c r="B1524" s="2"/>
      <c r="C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</row>
    <row r="1525" spans="1:48" ht="12.75" x14ac:dyDescent="0.2">
      <c r="A1525" s="2"/>
      <c r="B1525" s="2"/>
      <c r="C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</row>
    <row r="1526" spans="1:48" ht="12.75" x14ac:dyDescent="0.2">
      <c r="A1526" s="2"/>
      <c r="B1526" s="2"/>
      <c r="C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</row>
    <row r="1527" spans="1:48" ht="12.75" x14ac:dyDescent="0.2">
      <c r="A1527" s="2"/>
      <c r="B1527" s="2"/>
      <c r="C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</row>
    <row r="1528" spans="1:48" ht="12.75" x14ac:dyDescent="0.2">
      <c r="A1528" s="2"/>
      <c r="B1528" s="2"/>
      <c r="C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</row>
    <row r="1529" spans="1:48" ht="12.75" x14ac:dyDescent="0.2">
      <c r="A1529" s="2"/>
      <c r="B1529" s="2"/>
      <c r="C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</row>
    <row r="1530" spans="1:48" ht="12.75" x14ac:dyDescent="0.2">
      <c r="A1530" s="2"/>
      <c r="B1530" s="2"/>
      <c r="C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</row>
    <row r="1531" spans="1:48" ht="12.75" x14ac:dyDescent="0.2">
      <c r="A1531" s="2"/>
      <c r="B1531" s="2"/>
      <c r="C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</row>
    <row r="1532" spans="1:48" ht="12.75" x14ac:dyDescent="0.2">
      <c r="A1532" s="2"/>
      <c r="B1532" s="2"/>
      <c r="C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</row>
    <row r="1533" spans="1:48" ht="12.75" x14ac:dyDescent="0.2">
      <c r="A1533" s="2"/>
      <c r="B1533" s="2"/>
      <c r="C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</row>
    <row r="1534" spans="1:48" ht="12.75" x14ac:dyDescent="0.2">
      <c r="A1534" s="2"/>
      <c r="B1534" s="2"/>
      <c r="C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</row>
    <row r="1535" spans="1:48" ht="12.75" x14ac:dyDescent="0.2">
      <c r="A1535" s="2"/>
      <c r="B1535" s="2"/>
      <c r="C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</row>
    <row r="1536" spans="1:48" ht="12.75" x14ac:dyDescent="0.2">
      <c r="A1536" s="2"/>
      <c r="B1536" s="2"/>
      <c r="C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</row>
    <row r="1537" spans="1:48" ht="12.75" x14ac:dyDescent="0.2">
      <c r="A1537" s="2"/>
      <c r="B1537" s="2"/>
      <c r="C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</row>
    <row r="1538" spans="1:48" ht="12.75" x14ac:dyDescent="0.2">
      <c r="A1538" s="2"/>
      <c r="B1538" s="2"/>
      <c r="C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</row>
    <row r="1539" spans="1:48" ht="12.75" x14ac:dyDescent="0.2">
      <c r="A1539" s="2"/>
      <c r="B1539" s="2"/>
      <c r="C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</row>
    <row r="1540" spans="1:48" ht="12.75" x14ac:dyDescent="0.2">
      <c r="A1540" s="2"/>
      <c r="B1540" s="2"/>
      <c r="C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</row>
    <row r="1541" spans="1:48" ht="12.75" x14ac:dyDescent="0.2">
      <c r="A1541" s="2"/>
      <c r="B1541" s="2"/>
      <c r="C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</row>
    <row r="1542" spans="1:48" ht="12.75" x14ac:dyDescent="0.2">
      <c r="A1542" s="2"/>
      <c r="B1542" s="2"/>
      <c r="C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</row>
    <row r="1543" spans="1:48" ht="12.75" x14ac:dyDescent="0.2">
      <c r="A1543" s="2"/>
      <c r="B1543" s="2"/>
      <c r="C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</row>
    <row r="1544" spans="1:48" ht="12.75" x14ac:dyDescent="0.2">
      <c r="A1544" s="2"/>
      <c r="B1544" s="2"/>
      <c r="C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</row>
    <row r="1545" spans="1:48" ht="12.75" x14ac:dyDescent="0.2">
      <c r="A1545" s="2"/>
      <c r="B1545" s="2"/>
      <c r="C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</row>
    <row r="1546" spans="1:48" ht="12.75" x14ac:dyDescent="0.2">
      <c r="A1546" s="2"/>
      <c r="B1546" s="2"/>
      <c r="C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</row>
    <row r="1547" spans="1:48" ht="12.75" x14ac:dyDescent="0.2">
      <c r="A1547" s="2"/>
      <c r="B1547" s="2"/>
      <c r="C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</row>
    <row r="1548" spans="1:48" ht="12.75" x14ac:dyDescent="0.2">
      <c r="A1548" s="2"/>
      <c r="B1548" s="2"/>
      <c r="C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</row>
    <row r="1549" spans="1:48" ht="12.75" x14ac:dyDescent="0.2">
      <c r="A1549" s="2"/>
      <c r="B1549" s="2"/>
      <c r="C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</row>
    <row r="1550" spans="1:48" ht="12.75" x14ac:dyDescent="0.2">
      <c r="A1550" s="2"/>
      <c r="B1550" s="2"/>
      <c r="C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</row>
    <row r="1551" spans="1:48" ht="12.75" x14ac:dyDescent="0.2">
      <c r="A1551" s="2"/>
      <c r="B1551" s="2"/>
      <c r="C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</row>
    <row r="1552" spans="1:48" ht="12.75" x14ac:dyDescent="0.2">
      <c r="A1552" s="2"/>
      <c r="B1552" s="2"/>
      <c r="C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</row>
    <row r="1553" spans="1:48" ht="12.75" x14ac:dyDescent="0.2">
      <c r="A1553" s="2"/>
      <c r="B1553" s="2"/>
      <c r="C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</row>
    <row r="1554" spans="1:48" ht="12.75" x14ac:dyDescent="0.2">
      <c r="A1554" s="2"/>
      <c r="B1554" s="2"/>
      <c r="C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</row>
    <row r="1555" spans="1:48" ht="12.75" x14ac:dyDescent="0.2">
      <c r="A1555" s="2"/>
      <c r="B1555" s="2"/>
      <c r="C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</row>
    <row r="1556" spans="1:48" ht="12.75" x14ac:dyDescent="0.2">
      <c r="A1556" s="2"/>
      <c r="B1556" s="2"/>
      <c r="C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</row>
    <row r="1557" spans="1:48" ht="12.75" x14ac:dyDescent="0.2">
      <c r="A1557" s="2"/>
      <c r="B1557" s="2"/>
      <c r="C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</row>
    <row r="1558" spans="1:48" ht="12.75" x14ac:dyDescent="0.2">
      <c r="A1558" s="2"/>
      <c r="B1558" s="2"/>
      <c r="C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</row>
    <row r="1559" spans="1:48" ht="12.75" x14ac:dyDescent="0.2">
      <c r="A1559" s="2"/>
      <c r="B1559" s="2"/>
      <c r="C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</row>
    <row r="1560" spans="1:48" ht="12.75" x14ac:dyDescent="0.2">
      <c r="A1560" s="2"/>
      <c r="B1560" s="2"/>
      <c r="C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</row>
    <row r="1561" spans="1:48" ht="12.75" x14ac:dyDescent="0.2">
      <c r="A1561" s="2"/>
      <c r="B1561" s="2"/>
      <c r="C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</row>
    <row r="1562" spans="1:48" ht="12.75" x14ac:dyDescent="0.2">
      <c r="A1562" s="2"/>
      <c r="B1562" s="2"/>
      <c r="C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</row>
    <row r="1563" spans="1:48" ht="12.75" x14ac:dyDescent="0.2">
      <c r="A1563" s="2"/>
      <c r="B1563" s="2"/>
      <c r="C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</row>
    <row r="1564" spans="1:48" ht="12.75" x14ac:dyDescent="0.2">
      <c r="A1564" s="2"/>
      <c r="B1564" s="2"/>
      <c r="C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</row>
    <row r="1565" spans="1:48" ht="12.75" x14ac:dyDescent="0.2">
      <c r="A1565" s="2"/>
      <c r="B1565" s="2"/>
      <c r="C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</row>
    <row r="1566" spans="1:48" ht="12.75" x14ac:dyDescent="0.2">
      <c r="A1566" s="2"/>
      <c r="B1566" s="2"/>
      <c r="C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</row>
    <row r="1567" spans="1:48" ht="12.75" x14ac:dyDescent="0.2">
      <c r="A1567" s="2"/>
      <c r="B1567" s="2"/>
      <c r="C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</row>
    <row r="1568" spans="1:48" ht="12.75" x14ac:dyDescent="0.2">
      <c r="A1568" s="2"/>
      <c r="B1568" s="2"/>
      <c r="C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</row>
    <row r="1569" spans="1:48" ht="12.75" x14ac:dyDescent="0.2">
      <c r="A1569" s="2"/>
      <c r="B1569" s="2"/>
      <c r="C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</row>
    <row r="1570" spans="1:48" ht="12.75" x14ac:dyDescent="0.2">
      <c r="A1570" s="2"/>
      <c r="B1570" s="2"/>
      <c r="C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</row>
    <row r="1571" spans="1:48" ht="12.75" x14ac:dyDescent="0.2">
      <c r="A1571" s="2"/>
      <c r="B1571" s="2"/>
      <c r="C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</row>
    <row r="1572" spans="1:48" ht="12.75" x14ac:dyDescent="0.2">
      <c r="A1572" s="2"/>
      <c r="B1572" s="2"/>
      <c r="C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</row>
    <row r="1573" spans="1:48" ht="12.75" x14ac:dyDescent="0.2">
      <c r="A1573" s="2"/>
      <c r="B1573" s="2"/>
      <c r="C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</row>
    <row r="1574" spans="1:48" ht="12.75" x14ac:dyDescent="0.2">
      <c r="A1574" s="2"/>
      <c r="B1574" s="2"/>
      <c r="C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</row>
    <row r="1575" spans="1:48" ht="12.75" x14ac:dyDescent="0.2">
      <c r="A1575" s="2"/>
      <c r="B1575" s="2"/>
      <c r="C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</row>
    <row r="1576" spans="1:48" ht="12.75" x14ac:dyDescent="0.2">
      <c r="A1576" s="2"/>
      <c r="B1576" s="2"/>
      <c r="C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</row>
    <row r="1577" spans="1:48" ht="12.75" x14ac:dyDescent="0.2">
      <c r="A1577" s="2"/>
      <c r="B1577" s="2"/>
      <c r="C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</row>
    <row r="1578" spans="1:48" ht="12.75" x14ac:dyDescent="0.2">
      <c r="A1578" s="2"/>
      <c r="B1578" s="2"/>
      <c r="C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</row>
    <row r="1579" spans="1:48" ht="12.75" x14ac:dyDescent="0.2">
      <c r="A1579" s="2"/>
      <c r="B1579" s="2"/>
      <c r="C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</row>
    <row r="1580" spans="1:48" ht="12.75" x14ac:dyDescent="0.2">
      <c r="A1580" s="2"/>
      <c r="B1580" s="2"/>
      <c r="C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</row>
    <row r="1581" spans="1:48" ht="12.75" x14ac:dyDescent="0.2">
      <c r="A1581" s="2"/>
      <c r="B1581" s="2"/>
      <c r="C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</row>
    <row r="1582" spans="1:48" ht="12.75" x14ac:dyDescent="0.2">
      <c r="A1582" s="2"/>
      <c r="B1582" s="2"/>
      <c r="C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</row>
    <row r="1583" spans="1:48" ht="12.75" x14ac:dyDescent="0.2">
      <c r="A1583" s="2"/>
      <c r="B1583" s="2"/>
      <c r="C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</row>
    <row r="1584" spans="1:48" ht="12.75" x14ac:dyDescent="0.2">
      <c r="A1584" s="2"/>
      <c r="B1584" s="2"/>
      <c r="C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</row>
    <row r="1585" spans="1:48" ht="12.75" x14ac:dyDescent="0.2">
      <c r="A1585" s="2"/>
      <c r="B1585" s="2"/>
      <c r="C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</row>
    <row r="1586" spans="1:48" ht="12.75" x14ac:dyDescent="0.2">
      <c r="A1586" s="2"/>
      <c r="B1586" s="2"/>
      <c r="C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</row>
    <row r="1587" spans="1:48" ht="12.75" x14ac:dyDescent="0.2">
      <c r="A1587" s="2"/>
      <c r="B1587" s="2"/>
      <c r="C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</row>
    <row r="1588" spans="1:48" ht="12.75" x14ac:dyDescent="0.2">
      <c r="A1588" s="2"/>
      <c r="B1588" s="2"/>
      <c r="C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</row>
    <row r="1589" spans="1:48" ht="12.75" x14ac:dyDescent="0.2">
      <c r="A1589" s="2"/>
      <c r="B1589" s="2"/>
      <c r="C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</row>
    <row r="1590" spans="1:48" ht="12.75" x14ac:dyDescent="0.2">
      <c r="A1590" s="2"/>
      <c r="B1590" s="2"/>
      <c r="C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</row>
    <row r="1591" spans="1:48" ht="12.75" x14ac:dyDescent="0.2">
      <c r="A1591" s="2"/>
      <c r="B1591" s="2"/>
      <c r="C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</row>
    <row r="1592" spans="1:48" ht="12.75" x14ac:dyDescent="0.2">
      <c r="A1592" s="2"/>
      <c r="B1592" s="2"/>
      <c r="C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</row>
    <row r="1593" spans="1:48" ht="12.75" x14ac:dyDescent="0.2">
      <c r="A1593" s="2"/>
      <c r="B1593" s="2"/>
      <c r="C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</row>
    <row r="1594" spans="1:48" ht="12.75" x14ac:dyDescent="0.2">
      <c r="A1594" s="2"/>
      <c r="B1594" s="2"/>
      <c r="C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</row>
    <row r="1595" spans="1:48" ht="12.75" x14ac:dyDescent="0.2">
      <c r="A1595" s="2"/>
      <c r="B1595" s="2"/>
      <c r="C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</row>
    <row r="1596" spans="1:48" ht="12.75" x14ac:dyDescent="0.2">
      <c r="A1596" s="2"/>
      <c r="B1596" s="2"/>
      <c r="C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</row>
    <row r="1597" spans="1:48" ht="12.75" x14ac:dyDescent="0.2">
      <c r="A1597" s="2"/>
      <c r="B1597" s="2"/>
      <c r="C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</row>
    <row r="1598" spans="1:48" ht="12.75" x14ac:dyDescent="0.2">
      <c r="A1598" s="2"/>
      <c r="B1598" s="2"/>
      <c r="C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</row>
    <row r="1599" spans="1:48" ht="12.75" x14ac:dyDescent="0.2">
      <c r="A1599" s="2"/>
      <c r="B1599" s="2"/>
      <c r="C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</row>
    <row r="1600" spans="1:48" ht="12.75" x14ac:dyDescent="0.2">
      <c r="A1600" s="2"/>
      <c r="B1600" s="2"/>
      <c r="C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</row>
    <row r="1601" spans="1:48" ht="12.75" x14ac:dyDescent="0.2">
      <c r="A1601" s="2"/>
      <c r="B1601" s="2"/>
      <c r="C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</row>
    <row r="1602" spans="1:48" ht="12.75" x14ac:dyDescent="0.2">
      <c r="A1602" s="2"/>
      <c r="B1602" s="2"/>
      <c r="C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</row>
    <row r="1603" spans="1:48" ht="12.75" x14ac:dyDescent="0.2">
      <c r="A1603" s="2"/>
      <c r="B1603" s="2"/>
      <c r="C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</row>
    <row r="1604" spans="1:48" ht="12.75" x14ac:dyDescent="0.2">
      <c r="A1604" s="2"/>
      <c r="B1604" s="2"/>
      <c r="C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</row>
    <row r="1605" spans="1:48" ht="12.75" x14ac:dyDescent="0.2">
      <c r="A1605" s="2"/>
      <c r="B1605" s="2"/>
      <c r="C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</row>
    <row r="1606" spans="1:48" ht="12.75" x14ac:dyDescent="0.2">
      <c r="A1606" s="2"/>
      <c r="B1606" s="2"/>
      <c r="C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</row>
    <row r="1607" spans="1:48" ht="12.75" x14ac:dyDescent="0.2">
      <c r="A1607" s="2"/>
      <c r="B1607" s="2"/>
      <c r="C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</row>
    <row r="1608" spans="1:48" ht="12.75" x14ac:dyDescent="0.2">
      <c r="A1608" s="2"/>
      <c r="B1608" s="2"/>
      <c r="C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</row>
    <row r="1609" spans="1:48" ht="12.75" x14ac:dyDescent="0.2">
      <c r="A1609" s="2"/>
      <c r="B1609" s="2"/>
      <c r="C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</row>
    <row r="1610" spans="1:48" ht="12.75" x14ac:dyDescent="0.2">
      <c r="A1610" s="2"/>
      <c r="B1610" s="2"/>
      <c r="C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</row>
    <row r="1611" spans="1:48" ht="12.75" x14ac:dyDescent="0.2">
      <c r="A1611" s="2"/>
      <c r="B1611" s="2"/>
      <c r="C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</row>
    <row r="1612" spans="1:48" ht="12.75" x14ac:dyDescent="0.2">
      <c r="A1612" s="2"/>
      <c r="B1612" s="2"/>
      <c r="C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</row>
    <row r="1613" spans="1:48" ht="12.75" x14ac:dyDescent="0.2">
      <c r="A1613" s="2"/>
      <c r="B1613" s="2"/>
      <c r="C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</row>
    <row r="1614" spans="1:48" ht="12.75" x14ac:dyDescent="0.2">
      <c r="A1614" s="2"/>
      <c r="B1614" s="2"/>
      <c r="C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</row>
    <row r="1615" spans="1:48" ht="12.75" x14ac:dyDescent="0.2">
      <c r="A1615" s="2"/>
      <c r="B1615" s="2"/>
      <c r="C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</row>
    <row r="1616" spans="1:48" ht="12.75" x14ac:dyDescent="0.2">
      <c r="A1616" s="2"/>
      <c r="B1616" s="2"/>
      <c r="C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</row>
    <row r="1617" spans="1:48" ht="12.75" x14ac:dyDescent="0.2">
      <c r="A1617" s="2"/>
      <c r="B1617" s="2"/>
      <c r="C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</row>
    <row r="1618" spans="1:48" ht="12.75" x14ac:dyDescent="0.2">
      <c r="A1618" s="2"/>
      <c r="B1618" s="2"/>
      <c r="C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</row>
    <row r="1619" spans="1:48" ht="12.75" x14ac:dyDescent="0.2">
      <c r="A1619" s="2"/>
      <c r="B1619" s="2"/>
      <c r="C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</row>
    <row r="1620" spans="1:48" ht="12.75" x14ac:dyDescent="0.2">
      <c r="A1620" s="2"/>
      <c r="B1620" s="2"/>
      <c r="C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</row>
    <row r="1621" spans="1:48" ht="12.75" x14ac:dyDescent="0.2">
      <c r="A1621" s="2"/>
      <c r="B1621" s="2"/>
      <c r="C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</row>
    <row r="1622" spans="1:48" ht="12.75" x14ac:dyDescent="0.2">
      <c r="A1622" s="2"/>
      <c r="B1622" s="2"/>
      <c r="C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</row>
    <row r="1623" spans="1:48" ht="12.75" x14ac:dyDescent="0.2">
      <c r="A1623" s="2"/>
      <c r="B1623" s="2"/>
      <c r="C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</row>
    <row r="1624" spans="1:48" ht="12.75" x14ac:dyDescent="0.2">
      <c r="A1624" s="2"/>
      <c r="B1624" s="2"/>
      <c r="C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</row>
    <row r="1625" spans="1:48" ht="12.75" x14ac:dyDescent="0.2">
      <c r="A1625" s="2"/>
      <c r="B1625" s="2"/>
      <c r="C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</row>
    <row r="1626" spans="1:48" ht="12.75" x14ac:dyDescent="0.2">
      <c r="A1626" s="2"/>
      <c r="B1626" s="2"/>
      <c r="C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</row>
    <row r="1627" spans="1:48" ht="12.75" x14ac:dyDescent="0.2">
      <c r="A1627" s="2"/>
      <c r="B1627" s="2"/>
      <c r="C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</row>
  </sheetData>
  <autoFilter ref="A1:B128" xr:uid="{00000000-0009-0000-0000-00000A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Provinsi</vt:lpstr>
      <vt:lpstr>Pengaruh Luas Terhadap Produksi</vt:lpstr>
      <vt:lpstr>Produksi Kopi per Bulan</vt:lpstr>
      <vt:lpstr>Panen Raya disetiap Provinsi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Wawan .</cp:lastModifiedBy>
  <dcterms:modified xsi:type="dcterms:W3CDTF">2024-06-24T13:41:58Z</dcterms:modified>
</cp:coreProperties>
</file>